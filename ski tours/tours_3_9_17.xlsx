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28800" windowHeight="11685"/>
  </bookViews>
  <sheets>
    <sheet name="ski" sheetId="1" r:id="rId1"/>
  </sheets>
  <calcPr calcId="171027"/>
</workbook>
</file>

<file path=xl/calcChain.xml><?xml version="1.0" encoding="utf-8"?>
<calcChain xmlns="http://schemas.openxmlformats.org/spreadsheetml/2006/main">
  <c r="R11" i="1" l="1"/>
  <c r="Q8" i="1"/>
  <c r="P5" i="1"/>
  <c r="P2" i="1"/>
  <c r="P12" i="1"/>
  <c r="P3" i="1"/>
  <c r="P18" i="1"/>
  <c r="P19" i="1"/>
  <c r="P15" i="1"/>
  <c r="P9" i="1"/>
  <c r="P10" i="1"/>
  <c r="P4" i="1"/>
  <c r="P14" i="1"/>
  <c r="P11" i="1"/>
  <c r="P6" i="1"/>
  <c r="P16" i="1"/>
  <c r="P7" i="1"/>
  <c r="P17" i="1"/>
  <c r="P13" i="1"/>
  <c r="P8" i="1"/>
</calcChain>
</file>

<file path=xl/sharedStrings.xml><?xml version="1.0" encoding="utf-8"?>
<sst xmlns="http://schemas.openxmlformats.org/spreadsheetml/2006/main" count="257" uniqueCount="137">
  <si>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</si>
  <si>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</si>
  <si>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</si>
  <si>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</si>
  <si>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</si>
  <si>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</si>
  <si>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</si>
  <si>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</si>
  <si>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</si>
  <si>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</si>
  <si>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</si>
  <si>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</si>
  <si>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</si>
  <si>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</si>
  <si>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</si>
  <si>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duration</t>
  </si>
  <si>
    <t>starting elevation (ft)</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</si>
  <si>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</si>
  <si>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</si>
  <si>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</si>
  <si>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</si>
  <si>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</si>
  <si>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</si>
  <si>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</si>
  <si>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</si>
  <si>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</si>
  <si>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</si>
  <si>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</si>
  <si>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</si>
  <si>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</si>
  <si>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</si>
  <si>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</si>
  <si>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</si>
  <si>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snow lake divide</t>
  </si>
  <si>
    <t>estimated</t>
  </si>
  <si>
    <t>No Photos</t>
  </si>
  <si>
    <t>overcast</t>
  </si>
  <si>
    <t>We toured up to pineapple pass basin via source lake. We practiced digging pits to analyze snowlayers. We descended skiers left from pineapple basin, which eventually emptied out into lower chair peak slide path.</t>
  </si>
  <si>
    <t>pineapple basin</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</si>
  <si>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</si>
  <si>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</si>
  <si>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</si>
  <si>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</si>
  <si>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</si>
  <si>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</si>
  <si>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</si>
  <si>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yodelin</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</si>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</sst>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font>
    <font>
      <b/>
      <sz val="10"/>
      <name val="Arial"/>
    </font>
    <font>
      <sz val="10"/>
      <name val="Arial"/>
    </font>
    <font>
      <sz val="10"/>
      <color rgb="FF000000"/>
      <name val="Arial"/>
    </font>
    <font>
      <u/>
      <sz val="10"/>
      <color rgb="FF0000FF"/>
      <name val="Arial"/>
    </font>
    <font>
      <sz val="10"/>
      <color rgb="FF2A2A2A"/>
      <name val="&quot;Trebuchet MS&quot;"/>
    </font>
    <font>
      <sz val="10"/>
      <color rgb="FF222222"/>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applyFont="1" applyAlignment="1"/>
    <xf numFmtId="0" fontId="1" fillId="2" borderId="0" xfId="0" applyFont="1" applyFill="1" applyAlignment="1"/>
    <xf numFmtId="14" fontId="1" fillId="2" borderId="0" xfId="0" applyNumberFormat="1" applyFont="1" applyFill="1" applyAlignment="1"/>
    <xf numFmtId="0" fontId="2" fillId="0" borderId="0" xfId="0" applyFont="1" applyAlignment="1"/>
    <xf numFmtId="14" fontId="2" fillId="0" borderId="0" xfId="0" applyNumberFormat="1" applyFont="1" applyAlignment="1"/>
    <xf numFmtId="0" fontId="3" fillId="3" borderId="0" xfId="0" applyFont="1" applyFill="1" applyAlignment="1"/>
    <xf numFmtId="0" fontId="4" fillId="0" borderId="0" xfId="0" applyFont="1" applyAlignment="1"/>
    <xf numFmtId="0" fontId="5" fillId="3" borderId="0" xfId="0" applyFont="1" applyFill="1" applyAlignment="1"/>
    <xf numFmtId="4" fontId="6" fillId="3" borderId="0" xfId="0" applyNumberFormat="1" applyFont="1" applyFill="1" applyAlignment="1"/>
    <xf numFmtId="0" fontId="6"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photos/Fg5VwXqRL1MESyU89" TargetMode="External"/><Relationship Id="rId3" Type="http://schemas.openxmlformats.org/officeDocument/2006/relationships/hyperlink" Target="https://goo.gl/photos/8QLijYYcYF2fHJt49" TargetMode="External"/><Relationship Id="rId7" Type="http://schemas.openxmlformats.org/officeDocument/2006/relationships/hyperlink" Target="https://goo.gl/photos/dSTMC4R132MRyoAA8" TargetMode="External"/><Relationship Id="rId2" Type="http://schemas.openxmlformats.org/officeDocument/2006/relationships/hyperlink" Target="https://goo.gl/photos/sdJAWiLCD5R1FfL49" TargetMode="External"/><Relationship Id="rId1" Type="http://schemas.openxmlformats.org/officeDocument/2006/relationships/hyperlink" Target="https://goo.gl/photos/7Qdmx9zpkP7qcYvbA" TargetMode="External"/><Relationship Id="rId6" Type="http://schemas.openxmlformats.org/officeDocument/2006/relationships/hyperlink" Target="https://goo.gl/photos/7qD29Qw2RCB7J6Jz6" TargetMode="External"/><Relationship Id="rId11" Type="http://schemas.openxmlformats.org/officeDocument/2006/relationships/hyperlink" Target="https://goo.gl/photos/2kXyBLP5cAJNrCSe9" TargetMode="External"/><Relationship Id="rId5" Type="http://schemas.openxmlformats.org/officeDocument/2006/relationships/hyperlink" Target="https://goo.gl/photos/vN9QYzuq3XzWfuQi6" TargetMode="External"/><Relationship Id="rId10" Type="http://schemas.openxmlformats.org/officeDocument/2006/relationships/hyperlink" Target="https://goo.gl/photos/CZp2HMVyfaZJR8Ev5" TargetMode="External"/><Relationship Id="rId4" Type="http://schemas.openxmlformats.org/officeDocument/2006/relationships/hyperlink" Target="https://goo.gl/photos/AUQmvyL6jra3EhoL9" TargetMode="External"/><Relationship Id="rId9" Type="http://schemas.openxmlformats.org/officeDocument/2006/relationships/hyperlink" Target="https://goo.gl/photos/Ad1EKGAorhXnmP1p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
  <sheetViews>
    <sheetView tabSelected="1" workbookViewId="0">
      <selection activeCell="H26" sqref="H26"/>
    </sheetView>
  </sheetViews>
  <sheetFormatPr defaultColWidth="14.42578125" defaultRowHeight="15.75" customHeight="1"/>
  <cols>
    <col min="1" max="2" width="11" customWidth="1"/>
    <col min="3" max="3" width="18.85546875" customWidth="1"/>
    <col min="4" max="4" width="24.7109375" customWidth="1"/>
    <col min="5" max="5" width="17.85546875" customWidth="1"/>
    <col min="6" max="6" width="17.7109375" customWidth="1"/>
    <col min="7" max="7" width="26.7109375" customWidth="1"/>
    <col min="8" max="8" width="46" customWidth="1"/>
    <col min="9" max="9" width="20.85546875" customWidth="1"/>
    <col min="10" max="10" width="32.140625" customWidth="1"/>
    <col min="11" max="11" width="34.42578125" customWidth="1"/>
    <col min="12" max="12" width="16.7109375" customWidth="1"/>
    <col min="13" max="13" width="24.42578125" customWidth="1"/>
    <col min="14" max="14" width="6.85546875" customWidth="1"/>
    <col min="15" max="15" width="6.42578125" customWidth="1"/>
    <col min="17" max="17" width="19.140625" customWidth="1"/>
    <col min="18" max="18" width="21.42578125" customWidth="1"/>
    <col min="19" max="19" width="18.7109375" customWidth="1"/>
    <col min="21" max="21" width="34.5703125" customWidth="1"/>
    <col min="22" max="22" width="21.42578125" customWidth="1"/>
    <col min="23" max="23" width="42" customWidth="1"/>
  </cols>
  <sheetData>
    <row r="1" spans="1:23"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75" customHeight="1">
      <c r="A2" s="3">
        <v>1</v>
      </c>
      <c r="B2" s="4">
        <v>42721</v>
      </c>
      <c r="C2" s="3" t="s">
        <v>23</v>
      </c>
      <c r="D2" s="3" t="s">
        <v>24</v>
      </c>
      <c r="E2" s="3" t="s">
        <v>25</v>
      </c>
      <c r="F2" s="3" t="s">
        <v>26</v>
      </c>
      <c r="G2" s="3" t="s">
        <v>27</v>
      </c>
      <c r="H2" s="3" t="s">
        <v>28</v>
      </c>
      <c r="I2" s="3">
        <v>10</v>
      </c>
      <c r="J2" s="3" t="s">
        <v>29</v>
      </c>
      <c r="K2" s="3" t="s">
        <v>30</v>
      </c>
      <c r="L2" s="3" t="s">
        <v>31</v>
      </c>
      <c r="M2" s="3" t="s">
        <v>32</v>
      </c>
      <c r="N2" s="3">
        <v>850</v>
      </c>
      <c r="O2" s="3">
        <v>1550</v>
      </c>
      <c r="P2" t="e">
        <f t="shared" ref="P2:P19" ca="1" si="0">_xludf.CONCAT((O2-N2)/100," hours")</f>
        <v>#NAME?</v>
      </c>
      <c r="Q2" s="3">
        <v>2600</v>
      </c>
      <c r="R2" s="3">
        <v>3600</v>
      </c>
      <c r="S2" s="3">
        <v>1000</v>
      </c>
      <c r="T2" s="3">
        <v>7</v>
      </c>
      <c r="U2" s="3" t="s">
        <v>33</v>
      </c>
      <c r="V2" s="3" t="s">
        <v>34</v>
      </c>
      <c r="W2" s="3" t="s">
        <v>35</v>
      </c>
    </row>
    <row r="3" spans="1:23" ht="15.75" customHeight="1">
      <c r="A3" s="3">
        <v>2</v>
      </c>
      <c r="B3" s="4">
        <v>42722</v>
      </c>
      <c r="C3" s="3" t="s">
        <v>23</v>
      </c>
      <c r="D3" s="3" t="s">
        <v>24</v>
      </c>
      <c r="E3" s="3" t="s">
        <v>25</v>
      </c>
      <c r="F3" s="3" t="s">
        <v>26</v>
      </c>
      <c r="G3" s="3" t="s">
        <v>36</v>
      </c>
      <c r="H3" s="3" t="s">
        <v>28</v>
      </c>
      <c r="I3" s="3">
        <v>10</v>
      </c>
      <c r="J3" s="3" t="s">
        <v>37</v>
      </c>
      <c r="K3" s="3" t="s">
        <v>30</v>
      </c>
      <c r="L3" s="3" t="s">
        <v>31</v>
      </c>
      <c r="M3" s="3" t="s">
        <v>32</v>
      </c>
      <c r="N3" s="3">
        <v>850</v>
      </c>
      <c r="O3" s="3">
        <v>1550</v>
      </c>
      <c r="P3" t="e">
        <f t="shared" ca="1" si="0"/>
        <v>#NAME?</v>
      </c>
      <c r="Q3" s="3">
        <v>2600</v>
      </c>
      <c r="R3" s="3">
        <v>3600</v>
      </c>
      <c r="S3" s="3">
        <v>1000</v>
      </c>
      <c r="T3" s="3">
        <v>7</v>
      </c>
      <c r="U3" s="3" t="s">
        <v>38</v>
      </c>
      <c r="V3" s="3" t="s">
        <v>34</v>
      </c>
      <c r="W3" s="3" t="s">
        <v>35</v>
      </c>
    </row>
    <row r="4" spans="1:23" ht="15.75" customHeight="1">
      <c r="A4" s="3">
        <v>3</v>
      </c>
      <c r="B4" s="4">
        <v>42714</v>
      </c>
      <c r="C4" s="3" t="s">
        <v>39</v>
      </c>
      <c r="D4" s="3" t="s">
        <v>40</v>
      </c>
      <c r="E4" s="3" t="s">
        <v>25</v>
      </c>
      <c r="F4" s="3" t="s">
        <v>41</v>
      </c>
      <c r="G4" s="3" t="s">
        <v>27</v>
      </c>
      <c r="H4" s="3" t="s">
        <v>42</v>
      </c>
      <c r="I4" s="3">
        <v>4</v>
      </c>
      <c r="J4" s="3" t="s">
        <v>43</v>
      </c>
      <c r="K4" s="5" t="s">
        <v>44</v>
      </c>
      <c r="L4" s="3" t="s">
        <v>25</v>
      </c>
      <c r="M4" s="3" t="s">
        <v>45</v>
      </c>
      <c r="N4" s="3">
        <v>1050</v>
      </c>
      <c r="O4" s="3">
        <v>1700</v>
      </c>
      <c r="P4" t="e">
        <f t="shared" ca="1" si="0"/>
        <v>#NAME?</v>
      </c>
      <c r="Q4" s="3">
        <v>3600</v>
      </c>
      <c r="R4" s="3">
        <v>5200</v>
      </c>
      <c r="S4" s="3">
        <v>2000</v>
      </c>
      <c r="T4" s="3">
        <v>8</v>
      </c>
      <c r="U4" s="3" t="s">
        <v>46</v>
      </c>
      <c r="V4" s="3" t="s">
        <v>34</v>
      </c>
      <c r="W4" s="3" t="s">
        <v>35</v>
      </c>
    </row>
    <row r="5" spans="1:23" ht="15.75" customHeight="1">
      <c r="A5" s="3">
        <v>4</v>
      </c>
      <c r="B5" s="4">
        <v>42707</v>
      </c>
      <c r="C5" s="3" t="s">
        <v>47</v>
      </c>
      <c r="D5" s="3" t="s">
        <v>48</v>
      </c>
      <c r="E5" s="3" t="s">
        <v>25</v>
      </c>
      <c r="F5" s="3" t="s">
        <v>41</v>
      </c>
      <c r="G5" s="3" t="s">
        <v>27</v>
      </c>
      <c r="H5" s="3" t="s">
        <v>49</v>
      </c>
      <c r="I5" s="3">
        <v>4</v>
      </c>
      <c r="J5" s="3" t="s">
        <v>50</v>
      </c>
      <c r="K5" s="3" t="s">
        <v>30</v>
      </c>
      <c r="L5" s="3" t="s">
        <v>31</v>
      </c>
      <c r="M5" s="3" t="s">
        <v>51</v>
      </c>
      <c r="N5" s="3">
        <v>950</v>
      </c>
      <c r="O5" s="3">
        <v>1400</v>
      </c>
      <c r="P5" t="e">
        <f t="shared" ca="1" si="0"/>
        <v>#NAME?</v>
      </c>
      <c r="Q5" s="3">
        <v>4400</v>
      </c>
      <c r="R5" s="3">
        <v>6400</v>
      </c>
      <c r="S5" s="3">
        <v>2600</v>
      </c>
      <c r="T5" s="3">
        <v>7</v>
      </c>
      <c r="U5" s="3" t="s">
        <v>52</v>
      </c>
      <c r="V5" s="3" t="s">
        <v>34</v>
      </c>
      <c r="W5" s="3" t="s">
        <v>35</v>
      </c>
    </row>
    <row r="6" spans="1:23" ht="15.75" customHeight="1">
      <c r="A6" s="3">
        <v>5</v>
      </c>
      <c r="B6" s="4">
        <v>42701</v>
      </c>
      <c r="C6" s="3" t="s">
        <v>39</v>
      </c>
      <c r="D6" s="3" t="s">
        <v>53</v>
      </c>
      <c r="E6" s="3" t="s">
        <v>31</v>
      </c>
      <c r="F6" s="3" t="s">
        <v>41</v>
      </c>
      <c r="G6" s="3" t="s">
        <v>54</v>
      </c>
      <c r="H6" s="3" t="s">
        <v>55</v>
      </c>
      <c r="I6" s="3">
        <v>3</v>
      </c>
      <c r="J6" s="3" t="s">
        <v>56</v>
      </c>
      <c r="K6" s="3" t="s">
        <v>30</v>
      </c>
      <c r="L6" s="3" t="s">
        <v>31</v>
      </c>
      <c r="M6" s="3" t="s">
        <v>57</v>
      </c>
      <c r="N6" s="3">
        <v>1000</v>
      </c>
      <c r="O6" s="3">
        <v>1600</v>
      </c>
      <c r="P6" t="e">
        <f t="shared" ca="1" si="0"/>
        <v>#NAME?</v>
      </c>
      <c r="Q6" s="3">
        <v>4000</v>
      </c>
      <c r="R6" s="3">
        <v>5600</v>
      </c>
      <c r="S6" s="3">
        <v>2000</v>
      </c>
      <c r="T6" s="3">
        <v>6</v>
      </c>
      <c r="U6" s="3" t="s">
        <v>58</v>
      </c>
      <c r="V6" s="3" t="s">
        <v>34</v>
      </c>
      <c r="W6" s="3" t="s">
        <v>35</v>
      </c>
    </row>
    <row r="7" spans="1:23" ht="15.75" customHeight="1">
      <c r="A7" s="3">
        <v>6</v>
      </c>
      <c r="B7" s="4">
        <v>42693</v>
      </c>
      <c r="C7" s="3" t="s">
        <v>59</v>
      </c>
      <c r="D7" s="3" t="s">
        <v>60</v>
      </c>
      <c r="E7" s="3" t="s">
        <v>25</v>
      </c>
      <c r="F7" s="3" t="s">
        <v>41</v>
      </c>
      <c r="G7" s="3" t="s">
        <v>27</v>
      </c>
      <c r="H7" s="3" t="s">
        <v>61</v>
      </c>
      <c r="I7" s="3">
        <v>3</v>
      </c>
      <c r="J7" s="3" t="s">
        <v>62</v>
      </c>
      <c r="K7" s="3" t="s">
        <v>30</v>
      </c>
      <c r="L7" s="3" t="s">
        <v>31</v>
      </c>
      <c r="M7" s="3" t="s">
        <v>63</v>
      </c>
      <c r="N7" s="3">
        <v>950</v>
      </c>
      <c r="O7" s="3">
        <v>1600</v>
      </c>
      <c r="P7" t="e">
        <f t="shared" ca="1" si="0"/>
        <v>#NAME?</v>
      </c>
      <c r="Q7" s="3">
        <v>5400</v>
      </c>
      <c r="R7" s="3">
        <v>6300</v>
      </c>
      <c r="S7" s="3">
        <v>3000</v>
      </c>
      <c r="T7" s="3">
        <v>7</v>
      </c>
      <c r="U7" s="3" t="s">
        <v>64</v>
      </c>
      <c r="V7" s="3" t="s">
        <v>34</v>
      </c>
      <c r="W7" s="6" t="s">
        <v>65</v>
      </c>
    </row>
    <row r="8" spans="1:23" ht="15.75" customHeight="1">
      <c r="A8" s="3">
        <v>7</v>
      </c>
      <c r="B8" s="4">
        <v>42665</v>
      </c>
      <c r="C8" s="3" t="s">
        <v>66</v>
      </c>
      <c r="D8" s="3" t="s">
        <v>67</v>
      </c>
      <c r="E8" s="3" t="s">
        <v>25</v>
      </c>
      <c r="F8" s="3" t="s">
        <v>26</v>
      </c>
      <c r="G8" s="3" t="s">
        <v>36</v>
      </c>
      <c r="H8" s="3" t="s">
        <v>68</v>
      </c>
      <c r="I8" s="3">
        <v>3</v>
      </c>
      <c r="J8" s="3" t="s">
        <v>69</v>
      </c>
      <c r="K8" s="3" t="s">
        <v>30</v>
      </c>
      <c r="L8" s="3" t="s">
        <v>31</v>
      </c>
      <c r="M8" s="3" t="s">
        <v>70</v>
      </c>
      <c r="N8" s="3">
        <v>950</v>
      </c>
      <c r="O8" s="3">
        <v>1600</v>
      </c>
      <c r="P8" t="e">
        <f t="shared" ca="1" si="0"/>
        <v>#NAME?</v>
      </c>
      <c r="Q8" s="3">
        <f>R8-S8</f>
        <v>5400</v>
      </c>
      <c r="R8" s="7">
        <v>10080</v>
      </c>
      <c r="S8" s="3">
        <v>4680</v>
      </c>
      <c r="T8" s="3">
        <v>9</v>
      </c>
      <c r="U8" s="3" t="s">
        <v>71</v>
      </c>
      <c r="V8" s="3" t="s">
        <v>34</v>
      </c>
      <c r="W8" s="3" t="s">
        <v>35</v>
      </c>
    </row>
    <row r="9" spans="1:23" ht="15.75" customHeight="1">
      <c r="A9" s="3">
        <v>8</v>
      </c>
      <c r="B9" s="4">
        <v>42749</v>
      </c>
      <c r="C9" s="3" t="s">
        <v>23</v>
      </c>
      <c r="D9" s="3" t="s">
        <v>24</v>
      </c>
      <c r="E9" s="3" t="s">
        <v>31</v>
      </c>
      <c r="F9" s="3" t="s">
        <v>26</v>
      </c>
      <c r="G9" s="3" t="s">
        <v>72</v>
      </c>
      <c r="H9" s="3" t="s">
        <v>49</v>
      </c>
      <c r="I9" s="3">
        <v>4</v>
      </c>
      <c r="J9" s="3" t="s">
        <v>73</v>
      </c>
      <c r="K9" s="3" t="s">
        <v>74</v>
      </c>
      <c r="L9" s="3" t="s">
        <v>25</v>
      </c>
      <c r="M9" s="3" t="s">
        <v>75</v>
      </c>
      <c r="N9" s="3">
        <v>675</v>
      </c>
      <c r="O9" s="3">
        <v>1250</v>
      </c>
      <c r="P9" t="e">
        <f t="shared" ca="1" si="0"/>
        <v>#NAME?</v>
      </c>
      <c r="Q9" s="3">
        <v>2600</v>
      </c>
      <c r="R9" s="3">
        <v>5800</v>
      </c>
      <c r="S9" s="3">
        <v>3200</v>
      </c>
      <c r="T9" s="3">
        <v>8</v>
      </c>
      <c r="U9" s="3" t="s">
        <v>76</v>
      </c>
      <c r="V9" s="3" t="s">
        <v>34</v>
      </c>
      <c r="W9" s="6" t="s">
        <v>77</v>
      </c>
    </row>
    <row r="10" spans="1:23" ht="15.75" customHeight="1">
      <c r="A10" s="3">
        <v>9</v>
      </c>
      <c r="B10" s="4">
        <v>42750</v>
      </c>
      <c r="C10" s="3" t="s">
        <v>23</v>
      </c>
      <c r="D10" s="3" t="s">
        <v>24</v>
      </c>
      <c r="E10" s="3" t="s">
        <v>25</v>
      </c>
      <c r="F10" s="3" t="s">
        <v>26</v>
      </c>
      <c r="G10" s="3" t="s">
        <v>72</v>
      </c>
      <c r="H10" s="3" t="s">
        <v>78</v>
      </c>
      <c r="I10" s="3">
        <v>5</v>
      </c>
      <c r="J10" s="3" t="s">
        <v>79</v>
      </c>
      <c r="K10" s="3" t="s">
        <v>30</v>
      </c>
      <c r="L10" s="3" t="s">
        <v>31</v>
      </c>
      <c r="M10" s="3" t="s">
        <v>80</v>
      </c>
      <c r="N10" s="3">
        <v>700</v>
      </c>
      <c r="O10" s="3">
        <v>1500</v>
      </c>
      <c r="P10" t="e">
        <f t="shared" ca="1" si="0"/>
        <v>#NAME?</v>
      </c>
      <c r="Q10" s="3">
        <v>2600</v>
      </c>
      <c r="R10" s="3">
        <v>5800</v>
      </c>
      <c r="S10" s="3">
        <v>5000</v>
      </c>
      <c r="T10" s="3">
        <v>9</v>
      </c>
      <c r="U10" s="3" t="s">
        <v>81</v>
      </c>
      <c r="V10" s="3" t="s">
        <v>34</v>
      </c>
      <c r="W10" s="6" t="s">
        <v>82</v>
      </c>
    </row>
    <row r="11" spans="1:23" ht="15.75" customHeight="1">
      <c r="A11" s="3">
        <v>10</v>
      </c>
      <c r="B11" s="4">
        <v>42756</v>
      </c>
      <c r="C11" s="3" t="s">
        <v>83</v>
      </c>
      <c r="D11" s="3" t="s">
        <v>84</v>
      </c>
      <c r="E11" s="3" t="s">
        <v>25</v>
      </c>
      <c r="F11" s="3" t="s">
        <v>26</v>
      </c>
      <c r="G11" s="3" t="s">
        <v>54</v>
      </c>
      <c r="H11" s="3" t="s">
        <v>85</v>
      </c>
      <c r="I11" s="3">
        <v>6</v>
      </c>
      <c r="J11" s="3" t="s">
        <v>86</v>
      </c>
      <c r="K11" s="3" t="s">
        <v>87</v>
      </c>
      <c r="L11" s="3" t="s">
        <v>25</v>
      </c>
      <c r="M11" s="3" t="s">
        <v>88</v>
      </c>
      <c r="N11" s="3">
        <v>1050</v>
      </c>
      <c r="O11" s="3">
        <v>1800</v>
      </c>
      <c r="P11" t="e">
        <f t="shared" ca="1" si="0"/>
        <v>#NAME?</v>
      </c>
      <c r="Q11" s="3">
        <v>3800</v>
      </c>
      <c r="R11" s="3">
        <f>S11+Q11</f>
        <v>6300</v>
      </c>
      <c r="S11" s="3">
        <v>2500</v>
      </c>
      <c r="T11" s="3">
        <v>8</v>
      </c>
      <c r="U11" s="3" t="s">
        <v>89</v>
      </c>
      <c r="V11" s="3" t="s">
        <v>34</v>
      </c>
      <c r="W11" s="6" t="s">
        <v>90</v>
      </c>
    </row>
    <row r="12" spans="1:23" ht="15.75" customHeight="1">
      <c r="A12" s="3">
        <v>11</v>
      </c>
      <c r="B12" s="4">
        <v>42764</v>
      </c>
      <c r="C12" s="3" t="s">
        <v>23</v>
      </c>
      <c r="D12" s="3" t="s">
        <v>91</v>
      </c>
      <c r="E12" s="3" t="s">
        <v>31</v>
      </c>
      <c r="F12" s="3" t="s">
        <v>26</v>
      </c>
      <c r="G12" s="3" t="s">
        <v>92</v>
      </c>
      <c r="H12" s="3" t="s">
        <v>93</v>
      </c>
      <c r="I12" s="3">
        <v>2</v>
      </c>
      <c r="J12" s="3" t="s">
        <v>94</v>
      </c>
      <c r="K12" s="3" t="s">
        <v>95</v>
      </c>
      <c r="L12" s="3" t="s">
        <v>25</v>
      </c>
      <c r="M12" s="3" t="s">
        <v>96</v>
      </c>
      <c r="N12" s="3">
        <v>800</v>
      </c>
      <c r="O12" s="3">
        <v>1700</v>
      </c>
      <c r="P12" t="e">
        <f t="shared" ca="1" si="0"/>
        <v>#NAME?</v>
      </c>
      <c r="Q12" s="3">
        <v>3000</v>
      </c>
      <c r="R12" s="3">
        <v>5400</v>
      </c>
      <c r="S12" s="3">
        <v>3500</v>
      </c>
      <c r="T12" s="3">
        <v>9</v>
      </c>
      <c r="U12" s="3" t="s">
        <v>97</v>
      </c>
      <c r="V12" s="3" t="s">
        <v>34</v>
      </c>
      <c r="W12" s="6" t="s">
        <v>98</v>
      </c>
    </row>
    <row r="13" spans="1:23" ht="15.75" customHeight="1">
      <c r="A13" s="3">
        <v>12</v>
      </c>
      <c r="B13" s="4">
        <v>42772</v>
      </c>
      <c r="C13" s="3" t="s">
        <v>23</v>
      </c>
      <c r="D13" s="3" t="s">
        <v>99</v>
      </c>
      <c r="E13" s="3" t="s">
        <v>31</v>
      </c>
      <c r="F13" s="3" t="s">
        <v>41</v>
      </c>
      <c r="G13" s="3" t="s">
        <v>100</v>
      </c>
      <c r="H13" s="3" t="s">
        <v>101</v>
      </c>
      <c r="I13" s="3">
        <v>2</v>
      </c>
      <c r="J13" s="3" t="s">
        <v>102</v>
      </c>
      <c r="K13" s="3" t="s">
        <v>103</v>
      </c>
      <c r="L13" s="3" t="s">
        <v>31</v>
      </c>
      <c r="M13" s="3" t="s">
        <v>104</v>
      </c>
      <c r="N13" s="3">
        <v>1500</v>
      </c>
      <c r="O13" s="3">
        <v>1750</v>
      </c>
      <c r="P13" t="e">
        <f t="shared" ca="1" si="0"/>
        <v>#NAME?</v>
      </c>
      <c r="Q13" s="3">
        <v>3000</v>
      </c>
      <c r="R13" s="3">
        <v>4000</v>
      </c>
      <c r="S13" s="3">
        <v>2000</v>
      </c>
      <c r="T13" s="3">
        <v>4</v>
      </c>
      <c r="U13" s="3" t="s">
        <v>105</v>
      </c>
      <c r="V13" s="3" t="s">
        <v>34</v>
      </c>
      <c r="W13" s="3" t="s">
        <v>35</v>
      </c>
    </row>
    <row r="14" spans="1:23" ht="15.75" customHeight="1">
      <c r="A14" s="3">
        <v>13</v>
      </c>
      <c r="B14" s="4">
        <v>42778</v>
      </c>
      <c r="C14" s="3" t="s">
        <v>23</v>
      </c>
      <c r="D14" s="3" t="s">
        <v>24</v>
      </c>
      <c r="E14" s="3" t="s">
        <v>25</v>
      </c>
      <c r="F14" s="3" t="s">
        <v>26</v>
      </c>
      <c r="G14" s="3" t="s">
        <v>106</v>
      </c>
      <c r="H14" s="3" t="s">
        <v>107</v>
      </c>
      <c r="I14" s="3">
        <v>4</v>
      </c>
      <c r="J14" s="3" t="s">
        <v>108</v>
      </c>
      <c r="K14" s="3" t="s">
        <v>30</v>
      </c>
      <c r="L14" s="3" t="s">
        <v>31</v>
      </c>
      <c r="M14" s="3" t="s">
        <v>109</v>
      </c>
      <c r="N14" s="3">
        <v>850</v>
      </c>
      <c r="O14" s="3">
        <v>1400</v>
      </c>
      <c r="P14" t="e">
        <f t="shared" ca="1" si="0"/>
        <v>#NAME?</v>
      </c>
      <c r="Q14" s="3">
        <v>2600</v>
      </c>
      <c r="R14" s="3">
        <v>5800</v>
      </c>
      <c r="S14" s="3">
        <v>3200</v>
      </c>
      <c r="T14" s="3">
        <v>8</v>
      </c>
      <c r="U14" s="3" t="s">
        <v>76</v>
      </c>
      <c r="V14" s="3" t="s">
        <v>34</v>
      </c>
      <c r="W14" s="6" t="s">
        <v>110</v>
      </c>
    </row>
    <row r="15" spans="1:23" ht="15.75" customHeight="1">
      <c r="A15" s="3">
        <v>14</v>
      </c>
      <c r="B15" s="4">
        <v>42784</v>
      </c>
      <c r="C15" s="3" t="s">
        <v>111</v>
      </c>
      <c r="D15" s="3" t="s">
        <v>112</v>
      </c>
      <c r="E15" s="3" t="s">
        <v>25</v>
      </c>
      <c r="F15" s="3" t="s">
        <v>41</v>
      </c>
      <c r="G15" s="3" t="s">
        <v>54</v>
      </c>
      <c r="H15" s="3" t="s">
        <v>101</v>
      </c>
      <c r="I15" s="3">
        <v>2</v>
      </c>
      <c r="J15" s="3" t="s">
        <v>113</v>
      </c>
      <c r="K15" s="3" t="s">
        <v>30</v>
      </c>
      <c r="L15" s="3" t="s">
        <v>31</v>
      </c>
      <c r="M15" s="3" t="s">
        <v>114</v>
      </c>
      <c r="N15" s="3">
        <v>950</v>
      </c>
      <c r="O15" s="3">
        <v>1600</v>
      </c>
      <c r="P15" t="e">
        <f t="shared" ca="1" si="0"/>
        <v>#NAME?</v>
      </c>
      <c r="Q15" s="3">
        <v>4600</v>
      </c>
      <c r="R15" s="3">
        <v>7000</v>
      </c>
      <c r="S15" s="3">
        <v>3000</v>
      </c>
      <c r="T15" s="3">
        <v>8</v>
      </c>
      <c r="U15" s="3" t="s">
        <v>115</v>
      </c>
      <c r="V15" s="3" t="s">
        <v>34</v>
      </c>
      <c r="W15" s="6" t="s">
        <v>116</v>
      </c>
    </row>
    <row r="16" spans="1:23" ht="15.75" customHeight="1">
      <c r="A16" s="3">
        <v>15</v>
      </c>
      <c r="B16" s="4">
        <v>42785</v>
      </c>
      <c r="C16" s="3" t="s">
        <v>111</v>
      </c>
      <c r="D16" s="3" t="s">
        <v>117</v>
      </c>
      <c r="E16" s="3" t="s">
        <v>31</v>
      </c>
      <c r="F16" s="3" t="s">
        <v>26</v>
      </c>
      <c r="G16" s="3" t="s">
        <v>54</v>
      </c>
      <c r="H16" s="3" t="s">
        <v>101</v>
      </c>
      <c r="I16" s="3">
        <v>2</v>
      </c>
      <c r="J16" s="3" t="s">
        <v>118</v>
      </c>
      <c r="K16" s="3" t="s">
        <v>30</v>
      </c>
      <c r="L16" s="3" t="s">
        <v>31</v>
      </c>
      <c r="M16" s="3" t="s">
        <v>119</v>
      </c>
      <c r="N16" s="3">
        <v>900</v>
      </c>
      <c r="O16" s="3">
        <v>1700</v>
      </c>
      <c r="P16" t="e">
        <f t="shared" ca="1" si="0"/>
        <v>#NAME?</v>
      </c>
      <c r="Q16" s="3">
        <v>4190</v>
      </c>
      <c r="R16" s="3">
        <v>6890</v>
      </c>
      <c r="S16" s="3">
        <v>3800</v>
      </c>
      <c r="T16" s="3">
        <v>8.6991999999999994</v>
      </c>
      <c r="U16" s="3" t="s">
        <v>120</v>
      </c>
      <c r="V16" s="3" t="s">
        <v>34</v>
      </c>
      <c r="W16" s="6" t="s">
        <v>121</v>
      </c>
    </row>
    <row r="17" spans="1:23" ht="15.75" customHeight="1">
      <c r="A17" s="3">
        <v>16</v>
      </c>
      <c r="B17" s="4">
        <v>42786</v>
      </c>
      <c r="C17" s="3" t="s">
        <v>111</v>
      </c>
      <c r="D17" s="3" t="s">
        <v>117</v>
      </c>
      <c r="E17" s="3" t="s">
        <v>25</v>
      </c>
      <c r="F17" s="3" t="s">
        <v>26</v>
      </c>
      <c r="G17" s="3" t="s">
        <v>106</v>
      </c>
      <c r="H17" s="3" t="s">
        <v>101</v>
      </c>
      <c r="I17" s="3">
        <v>2</v>
      </c>
      <c r="J17" s="3" t="s">
        <v>122</v>
      </c>
      <c r="K17" s="3" t="s">
        <v>30</v>
      </c>
      <c r="L17" s="3" t="s">
        <v>31</v>
      </c>
      <c r="M17" s="3" t="s">
        <v>123</v>
      </c>
      <c r="N17" s="3">
        <v>950</v>
      </c>
      <c r="O17" s="3">
        <v>1550</v>
      </c>
      <c r="P17" t="e">
        <f t="shared" ca="1" si="0"/>
        <v>#NAME?</v>
      </c>
      <c r="Q17" s="3">
        <v>4000</v>
      </c>
      <c r="R17" s="3">
        <v>7200</v>
      </c>
      <c r="S17" s="3">
        <v>3600</v>
      </c>
      <c r="T17" s="3">
        <v>6</v>
      </c>
      <c r="U17" s="3" t="s">
        <v>124</v>
      </c>
      <c r="V17" s="3" t="s">
        <v>34</v>
      </c>
      <c r="W17" s="6" t="s">
        <v>125</v>
      </c>
    </row>
    <row r="18" spans="1:23" ht="15.75" customHeight="1">
      <c r="A18" s="3">
        <v>17</v>
      </c>
      <c r="B18" s="4">
        <v>42791</v>
      </c>
      <c r="C18" s="3" t="s">
        <v>23</v>
      </c>
      <c r="D18" s="3" t="s">
        <v>24</v>
      </c>
      <c r="E18" s="3" t="s">
        <v>25</v>
      </c>
      <c r="F18" s="3" t="s">
        <v>26</v>
      </c>
      <c r="G18" s="3" t="s">
        <v>54</v>
      </c>
      <c r="H18" s="3" t="s">
        <v>93</v>
      </c>
      <c r="I18" s="3">
        <v>2</v>
      </c>
      <c r="J18" s="3" t="s">
        <v>126</v>
      </c>
      <c r="K18" s="3" t="s">
        <v>127</v>
      </c>
      <c r="L18" s="3" t="s">
        <v>25</v>
      </c>
      <c r="M18" s="3" t="s">
        <v>128</v>
      </c>
      <c r="N18" s="3">
        <v>800</v>
      </c>
      <c r="O18" s="3">
        <v>1700</v>
      </c>
      <c r="P18" t="e">
        <f t="shared" ca="1" si="0"/>
        <v>#NAME?</v>
      </c>
      <c r="Q18" s="3">
        <v>2600</v>
      </c>
      <c r="R18" s="3">
        <v>5700</v>
      </c>
      <c r="S18" s="3">
        <v>4000</v>
      </c>
      <c r="T18" s="3">
        <v>10</v>
      </c>
      <c r="U18" s="3" t="s">
        <v>129</v>
      </c>
      <c r="V18" s="3" t="s">
        <v>34</v>
      </c>
      <c r="W18" s="6" t="s">
        <v>130</v>
      </c>
    </row>
    <row r="19" spans="1:23" ht="15.75" customHeight="1">
      <c r="A19" s="3">
        <v>18</v>
      </c>
      <c r="B19" s="4">
        <v>42799</v>
      </c>
      <c r="C19" s="3" t="s">
        <v>23</v>
      </c>
      <c r="D19" s="3" t="s">
        <v>99</v>
      </c>
      <c r="E19" s="3" t="s">
        <v>25</v>
      </c>
      <c r="F19" s="3" t="s">
        <v>26</v>
      </c>
      <c r="G19" s="3" t="s">
        <v>92</v>
      </c>
      <c r="H19" s="3" t="s">
        <v>131</v>
      </c>
      <c r="I19" s="3">
        <v>3</v>
      </c>
      <c r="J19" s="3" t="s">
        <v>132</v>
      </c>
      <c r="K19" s="3" t="s">
        <v>30</v>
      </c>
      <c r="L19" s="3" t="s">
        <v>31</v>
      </c>
      <c r="M19" s="3" t="s">
        <v>133</v>
      </c>
      <c r="N19" s="3">
        <v>950</v>
      </c>
      <c r="O19" s="3">
        <v>1500</v>
      </c>
      <c r="P19" t="e">
        <f t="shared" ca="1" si="0"/>
        <v>#NAME?</v>
      </c>
      <c r="Q19" s="8">
        <v>2961.29</v>
      </c>
      <c r="R19" s="8">
        <v>5414.86</v>
      </c>
      <c r="S19" s="8">
        <v>2447.1799999999998</v>
      </c>
      <c r="T19" s="9">
        <v>6</v>
      </c>
      <c r="U19" s="3" t="s">
        <v>134</v>
      </c>
      <c r="V19" s="3" t="s">
        <v>135</v>
      </c>
      <c r="W19" s="6" t="s">
        <v>136</v>
      </c>
    </row>
  </sheetData>
  <hyperlinks>
    <hyperlink ref="W7" r:id="rId1"/>
    <hyperlink ref="W9" r:id="rId2"/>
    <hyperlink ref="W10" r:id="rId3"/>
    <hyperlink ref="W11" r:id="rId4"/>
    <hyperlink ref="W12" r:id="rId5"/>
    <hyperlink ref="W14" r:id="rId6"/>
    <hyperlink ref="W15" r:id="rId7"/>
    <hyperlink ref="W16" r:id="rId8"/>
    <hyperlink ref="W17" r:id="rId9"/>
    <hyperlink ref="W18" r:id="rId10"/>
    <hyperlink ref="W19"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Reid Haefer</dc:creator>
  <cp:lastModifiedBy>Reid Haefer</cp:lastModifiedBy>
  <dcterms:created xsi:type="dcterms:W3CDTF">2017-03-09T23:28:22Z</dcterms:created>
  <dcterms:modified xsi:type="dcterms:W3CDTF">2017-03-10T16:24:01Z</dcterms:modified>
</cp:coreProperties>
</file>