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<sst xmlns="http://schemas.openxmlformats.org/spreadsheetml/2006/main" count="561" uniqueCount="276">
  <si>
    <t>id</t>
  </si>
  <si>
    <t>date</t>
  </si>
  <si>
    <t>general area</t>
  </si>
  <si>
    <t>trailhead</t>
  </si>
  <si>
    <t>objective achieved</t>
  </si>
  <si>
    <t>nwac avy rating</t>
  </si>
  <si>
    <t>weather</t>
  </si>
  <si>
    <t>tour partners</t>
  </si>
  <si>
    <t>size of ski group</t>
  </si>
  <si>
    <t>description</t>
  </si>
  <si>
    <t>avy observations</t>
  </si>
  <si>
    <t>avalanches observed</t>
  </si>
  <si>
    <t>Lessons learned</t>
  </si>
  <si>
    <t>tour start</t>
  </si>
  <si>
    <t>tour end</t>
  </si>
  <si>
    <t>time</t>
  </si>
  <si>
    <t>starting elevation (ft)</t>
  </si>
  <si>
    <t>duration</t>
  </si>
  <si>
    <t>highest elevation (ft)</t>
  </si>
  <si>
    <t>elevation gain (ft)</t>
  </si>
  <si>
    <t>distance (mile)</t>
  </si>
  <si>
    <t>tour name</t>
  </si>
  <si>
    <t>estimated or gps</t>
  </si>
  <si>
    <t>photos</t>
  </si>
  <si>
    <t>snoqualmie pass</t>
  </si>
  <si>
    <t>upper alpental parking lot</t>
  </si>
  <si>
    <t>yes</t>
  </si>
  <si>
    <t>moderate</t>
  </si>
  <si>
    <t>snow showers, overcast</t>
  </si>
  <si>
    <t>large group, AIARE I course, Wes</t>
  </si>
  <si>
    <t>We toured up to snow lake divide, via source lake. We practiced companion rescure at snow lake divide. To end the day we skinned up ~500 feet to descend the lower chair peak slide path. Snow was light and deep where it wasn't tracked out.</t>
  </si>
  <si>
    <t>no observed avalanches</t>
  </si>
  <si>
    <t>no</t>
  </si>
  <si>
    <t>get educated</t>
  </si>
  <si>
    <t>7 hours</t>
  </si>
  <si>
    <t>snow lake divide</t>
  </si>
  <si>
    <t>estimated</t>
  </si>
  <si>
    <t>https://goo.gl/photos/7UfuX4SdVa22ffd19</t>
  </si>
  <si>
    <t>overcast</t>
  </si>
  <si>
    <t>We toured up to pineapple pass basin via source lake. We practiced digging pits to analyze snowlayers. We descended skiers left from pineapple basin, which eventually emptied out into lower chair peak slide path.</t>
  </si>
  <si>
    <t>pineapple basin</t>
  </si>
  <si>
    <t>No Photos</t>
  </si>
  <si>
    <t>stevens pass</t>
  </si>
  <si>
    <t>upper yodelin parking lot</t>
  </si>
  <si>
    <t>considerable</t>
  </si>
  <si>
    <t>Kaegan, Wes, Alyssa</t>
  </si>
  <si>
    <t>We toured to the second (eastern) notch and skiied several laps on the back side of yodelin (southeast side).</t>
  </si>
  <si>
    <t>We were able to trigger a couple small sluff avalanches while skiing the back side.</t>
  </si>
  <si>
    <t>On the way down to the car, Kaegan decided to ski off the skin track and got lost from the group. The sun had already gone down and he did not have a headlamp. After getting lost, Kaegan called me and let me know that he was lost and worried. Alyssa skiied to the car while Wes and I stayed on the mountain - with headlamps - and communicated with Kaegan via cell phone. After about 30 minutes of uncertainty Kaegan found the skin track again and met up with Wes and I. Lessons learned: stay together as a group, especially if everyone does not know the terrain well and to always carry a headlamp. Also, Alyssa's skins failed so I voiled them. Also, Kaegan's pole snapped so we ducked taped it back together.</t>
  </si>
  <si>
    <t>6.5 hours</t>
  </si>
  <si>
    <t>yodelin</t>
  </si>
  <si>
    <t>https://goo.gl/photos/CLeb1sQ6snresNBQ9</t>
  </si>
  <si>
    <t>crystal mountain</t>
  </si>
  <si>
    <t>crystal mountain parking lot</t>
  </si>
  <si>
    <t>Wes, Ben, Kaegan</t>
  </si>
  <si>
    <t>We toured up into silver basin via quicksilver. We gained the ridge above silver basin by ascending a large bowl just to climbers right of three way peak. We skiied to crystal lake, ascended back up the ridge, and descended back into silver basin via a wide couloir adjacent to three way peak.</t>
  </si>
  <si>
    <t>don't go into silver basin too early because they may be bombing</t>
  </si>
  <si>
    <t>4.5 hours</t>
  </si>
  <si>
    <t>silver basin, crystal lakes</t>
  </si>
  <si>
    <t>stevens pass parking lot</t>
  </si>
  <si>
    <t>snow showers</t>
  </si>
  <si>
    <t>Wes, Jon</t>
  </si>
  <si>
    <t>We toured up to skyline divide and attempted to access tye peak by following the ridgeline west. This failed and we descended into the basin below tye peak. The snow was deep but obstacles were still present, which made skiing difficult and time consuming. Due to lack of visibility we chose not to attempt type peak. We toured back up to skyline divide and skiied to the car.</t>
  </si>
  <si>
    <t>While ascending back towards skyline divide, Jon's skins failed due to ice/snow. This was towards the end of the day and by this point it was snowing heavily. After attempting to boot back in waist deep power - at a snails pace - we used a voile strap to secure his skins. Lessons learned: always carry multiple voile straps.</t>
  </si>
  <si>
    <t>6 hours</t>
  </si>
  <si>
    <t>tye peak</t>
  </si>
  <si>
    <t>chinook pass</t>
  </si>
  <si>
    <t>main trailhead east of naches peak on 410</t>
  </si>
  <si>
    <t>Wes, Kaegan</t>
  </si>
  <si>
    <t>From the trailhead we toured along the east side of naches peak to access the sadle below the peak. We did multiple runs on the front (east) side and back (west) side of the sadle below naches peak. Great early season snow conditions. We all took a couple rock shots but nothing major.</t>
  </si>
  <si>
    <t>Be careful not to hit rocks in early seasons conditions (duh).</t>
  </si>
  <si>
    <t>naches peak area</t>
  </si>
  <si>
    <t>https://goo.gl/photos/7Qdmx9zpkP7qcYvbA</t>
  </si>
  <si>
    <t>mount rainier</t>
  </si>
  <si>
    <t>paradise parking lot</t>
  </si>
  <si>
    <t>Wes, Ben</t>
  </si>
  <si>
    <t>We hiked a quarter mile from the parking lot before we could put on our skins. Above 8,000 feet it was mostly hard ice. Ben and I put on ski crampons and made it to camp muir. Very cold conditions at the camp. The descent was mostly ice and not very fun. Still great to be out skiiing in October.</t>
  </si>
  <si>
    <t>Wes did not have ski crampons and therefore was unable to make it to camp muir. Lesson learned: bring ski crampons</t>
  </si>
  <si>
    <t>camp muir</t>
  </si>
  <si>
    <t>clear</t>
  </si>
  <si>
    <t>We toured up to Chair Peak Basin and booted the col you see on the right (north) when you enter the basin. We intended to ski the north face below chair peak down to Snow Lake. The wind was moderate and it was clear that there had been significant wind scouring and some deposited snow. Therefore, we decided to abondon our objective. We turned around and skiied and traversed east down to snow lake via the snow lake divide.</t>
  </si>
  <si>
    <t>few small wind slabs, sluffs</t>
  </si>
  <si>
    <t xml:space="preserve">You need to be ok with abandoning an objective. </t>
  </si>
  <si>
    <t>5.75 hours</t>
  </si>
  <si>
    <t>northeast face chair peak basin</t>
  </si>
  <si>
    <t>https://goo.gl/photos/sdJAWiLCD5R1FfL49</t>
  </si>
  <si>
    <t>Wes, Kaegan, Dane, Scott Matetich</t>
  </si>
  <si>
    <t>We toured up to Chair Peak Basin via Source Lake. We rached the saddle next to the northeast buttress of Chair Peak by skinning up the basin until the slope began too steep and booted up the last few hundred feet. We descended to snow lake on the north side of chair peak on variable, wind scoured snow up top and a few stashes of powder down lower. From snow lake we skinned up towards Mount Roosevelt and then hooked west over Chair Peak Lake and then up to Melakwa Pass. We skiied down the valley west to Upper Melakwa Lake. Our final climb of the day up towards the Bryant Couloir entrance was a steep, hot slog. The mountain was shedding snow, which made the climb more tense. We finally reached the approach to Bryant Couloir and enjoyed a fun, 1700 foot descent back to Source Lake. A quick but always tricky ride on the cat track and we were all back to the car.</t>
  </si>
  <si>
    <t>Overpack water and food when you expect to have a big day. We all were rationing water by the end of the day.</t>
  </si>
  <si>
    <t>8 hours</t>
  </si>
  <si>
    <t>chair peak cirumnavigation</t>
  </si>
  <si>
    <t>https://goo.gl/photos/8QLijYYcYF2fHJt49</t>
  </si>
  <si>
    <t>mount hood</t>
  </si>
  <si>
    <t>tilly jane guard station</t>
  </si>
  <si>
    <t>Ben, Geoff Guillory, Elliot, Sean, Porter</t>
  </si>
  <si>
    <t>I stayed at the Tilly Jane Guard Station on the north side of Mount Hood for the weekend with Geoff, Ben and a few other people. The immediate terrain around the cabin was mostly low angle trees with a few wind scoured steep canyons. Ben and I tried to drop into Polallie Canyon but besides that we mostly poked around everywhere just to get a feel for the area. We tried to gain some elevation but as we got above the trees the wind was too high and visibility too poor. The highlight was a couple laps below the cabin through a burnt out area. We skiied as a group of six, with several blue tooth speakers playing, and some whisky in our system.</t>
  </si>
  <si>
    <t>As Ben and I attempted to enter Polallie Canyon, Ben triggered a D1 wind slab about 8 inches deep and 30 feet wide that propogated 50 feet down the slope. We decided to abandon our plan of dropping into the canyon and booted out of our approach.</t>
  </si>
  <si>
    <t>Be careful when exploring unfamiliar terrain, especially when you do not have immediate access to avalanche and weather forecasts.</t>
  </si>
  <si>
    <t>7.5 hours</t>
  </si>
  <si>
    <t>north side of hood, above tilly jane guard station</t>
  </si>
  <si>
    <t>https://goo.gl/photos/AUQmvyL6jra3EhoL9</t>
  </si>
  <si>
    <t>snoqualmie summit</t>
  </si>
  <si>
    <t>partly cloudy</t>
  </si>
  <si>
    <t>Kaegan</t>
  </si>
  <si>
    <t>We toured up to Kendall Knob, along the ridge towards Kendall Peak and then descended to middle kendall lake. We then booted up to upper kendall lake and then continued to boot up towards the approach to Silver Lining. After getting within 20 feet of the apparent ridge, Kaegan communicated that he had came across a feature that was impassable. Almost simultaneously, something fell off my bag and slid down the very steep face below us. My snowboard binding had somehow become dislodge and had fallen off. Kaegan began to down climb as I assessed the impassable feature. It was a small rock ledge that would have required us to grab a small tree branch while taking a big step onto a rock ledge. We were within 20 feet of the top but unfortunately we were not comfortable with the risky final move. Therefore, we both down climbed a very steep section, fully utilizing our ice axes. As a result we had to backtrack our route in, which was long and laborious. We made it to the car just after the sun had gone down.</t>
  </si>
  <si>
    <t>a few small loose wet slides</t>
  </si>
  <si>
    <t>Have contingency plans and multiple options for both ascents and descents, given the possibility of failing to achieve the objective.</t>
  </si>
  <si>
    <t>9 hours</t>
  </si>
  <si>
    <t>silver lining, kendall adventure zone</t>
  </si>
  <si>
    <t>https://goo.gl/photos/vN9QYzuq3XzWfuQi6</t>
  </si>
  <si>
    <t>Summit West</t>
  </si>
  <si>
    <t>heavy snow</t>
  </si>
  <si>
    <t>Alyssa</t>
  </si>
  <si>
    <t>With the day off work, Alyssa and I planned to go tour at Hyak because the avy conditions were so bad and I had heard that East Summit was a safe place to tour. Unfortunately, the pass was closed at North Bend when we woke up with no estimated time to reopen. Nonetheless, we headed towards the pass leisurely, hoping that it would open within an hour or so of us arriving in North Bend. The pass did not open until 2pm. We spent 3-4 hours hanging around the north bend area; I pulled Alyssa on her skis behind the car as we drove down the middle fork road; we ate a bad, very long brunch at the country time restaurant; we sat in the twin falls trailhead parking lot watching wet people return from a hike. Eventually the pass opened, I we slowly made our way to the top in icey, blizzard like conditions. We abandoned our plans to tour at Hyak because the road was so bad and because we had never been there before; blizzard like conditions seemed like the wrong time to explore. Instead, we got in 3 great runs down the middle of West Summit. The whole mountain was not operating, so the groomed runs skiied great; about 1-2 feet of powder on top of the hard backed groomer. We headed out at 530 because I had a baskeball game in Seattle at 8pm.</t>
  </si>
  <si>
    <t>the snow was so deep that we avoided any steep slopes. When I ventured off the groomed areas I quickly found myself buried up to my chest, which is not a good feeling whether you are caught in a slide or simply wading through a flat area.</t>
  </si>
  <si>
    <t>be prepared for extensive delays when heading over the pass in winter conditions; have backup plans and a deck of cards to kill time.</t>
  </si>
  <si>
    <t>2.5 hours</t>
  </si>
  <si>
    <t>summit west</t>
  </si>
  <si>
    <t>partly sunny</t>
  </si>
  <si>
    <t>Ben, Wes, Geoff</t>
  </si>
  <si>
    <t>We toured up into Chair Peak Basin, gained the upper ridge below chair peak, and then descended the north east sloes into Snow Lake</t>
  </si>
  <si>
    <t xml:space="preserve">Once we gained the highest ridge below Chair Peak, we needed to boot up an additional steep face to reach the area where we would descend. Geoff did not feel comfortable with this last section, so he decided to separate from the group and descend on his own. Having a member of your group descend solo is not typically a good idea. But we talked it through and because avy conditions were pretty stable we all agreed that it was ok. </t>
  </si>
  <si>
    <t>5.5 hours</t>
  </si>
  <si>
    <t>https://goo.gl/photos/7qD29Qw2RCB7J6Jz6</t>
  </si>
  <si>
    <t>roger's pass</t>
  </si>
  <si>
    <t>roger's pass discovery center</t>
  </si>
  <si>
    <t>It was a first day at Roger's Pass and we really didn't know what we were doing. After floundering in the discovery center for a while, a European recommended that we check out 8812 peak We headed out towards Balu Pass, not exactly knowing where we were going but thankfully it was a valley with a solid skin track so had clear direction. We ended up touring up to Balu Pass and then up Balu Ridge. Once we got up to Balu Ridge, visibility was poor so we skiied Balu Ridge and Balu pass and then did one more lap. If we wanted to do 8812 peak we should have turned up into the trees a good distance before getting to Balu Pass. It was a first day in a big new zone so cut us some slack.</t>
  </si>
  <si>
    <t>Do research prior to going to the discovery center so that it doesn't take as long to decide on what tour to do. The discovery center had so many resources and their were so many options that it was overwhelming.</t>
  </si>
  <si>
    <t>balu ridge, balu pass</t>
  </si>
  <si>
    <t>https://goo.gl/photos/dSTMC4R132MRyoAA8</t>
  </si>
  <si>
    <t>asulkan valley trailhead</t>
  </si>
  <si>
    <t>We planned to tour up the Asulkan Valley and potentially go to Asulkan Pass or Young's Peak. Again, we were Roger's Pass greenhorns so our objectives were pretty fluid. We ended up touring up to the Asulkan Hut and by that time visibility was pretty poor. We skiied the Tree Triangle but before we got to the Mouse Trap, we transitioned and skined up skiers right and skiied The Ravens. The Ravens was a great, steep 1-2 thousand descent with some trees and open slopes. We slogged back through the valley - having to transition to skins at the railroad track - and made it back to the car just before we needed to put on a headlamp.</t>
  </si>
  <si>
    <t>bring more food than you need, even if you don't eat it</t>
  </si>
  <si>
    <t>asulkan hut, tree triangle, the ravens</t>
  </si>
  <si>
    <t>https://goo.gl/photos/Fg5VwXqRL1MESyU89</t>
  </si>
  <si>
    <t>On our third and final day at Roger's pass we toured up to Avalanche Crest. We did one lap in the valley below Avalanche Peak and then descended the normal Avalanche Crest route to the car. This was the best run of the trip; 3000 foot powdery descent with trees and some open slopes on a partly sunny day.</t>
  </si>
  <si>
    <t>talk to others on the trail to obtain beta. We almost toured up into an untouched valley but after talking to a group who had a guide, we decided not to because of avy danger</t>
  </si>
  <si>
    <t>avalanche crest</t>
  </si>
  <si>
    <t>https://goo.gl/photos/Ad1EKGAorhXnmP1p8</t>
  </si>
  <si>
    <t>We toured to up to and across snow lake. We headed up via the route to chair peak lake but then veered right to reach the ridge to the east of mount roosevelt. We then boot packed - ice axes in hand - for about an hour until we finally reached the entry to holy diver. We skiied holy diver, which I wouldn't really classify as a couloir - it reminded me of pineapple pass. After skiing to the end of the holy diver drainage, we then skinned all the way back to the ridge overlooking snow lake, skiied down to the lake, skinned across the lake and up snow lake divide, then skiied to the car. Quite a long day for a mediocre ski down holy diver. Nonetheless, we got to see a lot of new terrain.</t>
  </si>
  <si>
    <t>some natural loose slides</t>
  </si>
  <si>
    <t>Once we got to the east ridge below mount roosevelt, we encountered multiple other groups. One group decided to boot pack up the ridge while the other skin traversed below mount roosevelt. In retrospect, it would have been quicker and easier to skin up below mount roosevelt - via chair peak lake - compared to booting the east ridge.</t>
  </si>
  <si>
    <t>holy diver couloir</t>
  </si>
  <si>
    <t>https://goo.gl/photos/CZp2HMVyfaZJR8Ev5</t>
  </si>
  <si>
    <t>Ben, Wes</t>
  </si>
  <si>
    <t>We got a late start and did not have a firm objective in mind. We decided to head up commonwealth basin, with a tentative plan to shoot for Red Mountain. We found a good ski track - which was great because it was a deep powder day - and followed it to the end of commonwealth basin. We concluded that if we wanted to do Red Mountain we should have cut across to the northwest side of the river earlier. Instead we ascended the ridge to the kendall catwalk area and got some foggy views into the adventure zone. We had deep powder for 800 foot descent and then transitioned to skins for the slog out.</t>
  </si>
  <si>
    <t>bring extra food in case your friend forgets a lunch</t>
  </si>
  <si>
    <t>commonwealth basin</t>
  </si>
  <si>
    <t>gps</t>
  </si>
  <si>
    <t>https://goo.gl/photos/2kXyBLP5cAJNrCSe9</t>
  </si>
  <si>
    <t>mount baker</t>
  </si>
  <si>
    <t>mount baker ski area</t>
  </si>
  <si>
    <t>high</t>
  </si>
  <si>
    <t>Ben, Jim Rothwell</t>
  </si>
  <si>
    <t>I as up at Baker for Splitfest. We toured out to Swift Creek because it was a white out and high avalance danger above treeline. There was lot of heavy wet snow; the conditions were harsh so we went back to the cabin to hot tub.</t>
  </si>
  <si>
    <t>wet slides on all steep sloes</t>
  </si>
  <si>
    <t>find more tree runs at Baker</t>
  </si>
  <si>
    <t>4 hours</t>
  </si>
  <si>
    <t>swift creek</t>
  </si>
  <si>
    <t>https://goo.gl/photos/mhaBZCV8KwAHU7to7</t>
  </si>
  <si>
    <t>mostly sunny</t>
  </si>
  <si>
    <t>Ben, John (Ben's friend)</t>
  </si>
  <si>
    <t>For the second day of splitfest, we toured up towards Herman Saddle. We reached the saddle and then booted up to Mazama Dome. After peaking into Mazama Bowl we decided to ski our ascent route and descend to iceberg lake. We then ascended back to Herman Saddle and skiied back to the car.</t>
  </si>
  <si>
    <t>I triggered several wet slabs with a crown of about six inches that were several dozen feet wide and traveled a couple hundred feet down the slope.</t>
  </si>
  <si>
    <t>Wet slides usually won't bury you but be aware of the terrain below you; a wet slide can be consequential if it carries you into a treet or off a cliff.</t>
  </si>
  <si>
    <t>5 hours</t>
  </si>
  <si>
    <t>mazama dome</t>
  </si>
  <si>
    <t>https://goo.gl/photos/4YkYpkFpF65hfAtP9</t>
  </si>
  <si>
    <t>snow showers, sun breaks</t>
  </si>
  <si>
    <t>From the parking area above C lot, we toured up to 'Crown Point', skiied the northwest facing slope and then toured up to East Peak. We then decended into Cement Basin, toured back up to East Peak and then finally skiied the west facing slopes of East Peak back to the parking lot.</t>
  </si>
  <si>
    <t>we observed some wet slides but we did not trigger any</t>
  </si>
  <si>
    <t>We were planning to ski the Tatoosh range by Mount Rainier but at the last minutes we decided to play it conservative and go to crystal because there were considerable avy conditions above and at tree line. We ended up having a great day of exploring new terrain that is great skiing during high avalance condition days. The result of our decision to be conservative was scouting out good terrain to ski for future deep powder days.</t>
  </si>
  <si>
    <t>east peak circumnavigation</t>
  </si>
  <si>
    <t>https://goo.gl/photos/yNGMB948gbX3odZN8</t>
  </si>
  <si>
    <t>We toured up to Camp Muir one of the first sunny spring days of 2017. We booted up Panorama Point and skinned all the way to Muir without the need for crampons.The ski down was miserable above 9000 feet and pretty fun below. We skiied all the way back to the Paradise Parking lot.</t>
  </si>
  <si>
    <t>Even though it was a sunny, warm day the skiing above 9 thousand feet was terrible; it was hard, wind scoured, and sun cupped. I've done camp muir several times and this always seems to be the case. In terms of experiencing fun skiing, there doesn't seem to be any reason to go all the way to muir. The good skiing seems to always start around 8500.</t>
  </si>
  <si>
    <t>https://goo.gl/photos/vbwSH4zZGAcjfWYZ7</t>
  </si>
  <si>
    <t>narada falls trailhead</t>
  </si>
  <si>
    <t>party cloudy</t>
  </si>
  <si>
    <t>Ben, Liberty</t>
  </si>
  <si>
    <t>We toured up to reflection lakes and then up towards the castle. Once at the saddle below the saddle Ben and I decided to drop southwards to the backside of the castle. Liberty did not feel physical up to it so he descened safely solo down our skin track route. Ben and I skiied above 800 feet down the back side and then transitioned at the top of a steep short pitch; we could have continued descending another 300-400 feet but we had never been in this zone so we kept it cautious.We skinned back up to the ridge towards the Castle but veered east and ascended up to spot below a peak that lies east of the castle. From here we skiied back towards Louise Lake. This was a great ~1500 ft run with 6-8 inches of fresh spring powder. We then transitioned and skinned back along the road towards the trailhead.</t>
  </si>
  <si>
    <t>few wet slides</t>
  </si>
  <si>
    <t xml:space="preserve">Prepare a strategy if one of your group members isn't able to continue on with the group. Carefully consider if it is safe for one of your group members to descend alone. </t>
  </si>
  <si>
    <t>castle loop (tatoosh range)</t>
  </si>
  <si>
    <t>https://goo.gl/photos/6z9abe5WkQdCqYTY8</t>
  </si>
  <si>
    <t>whistler</t>
  </si>
  <si>
    <t>whistler blackcomb</t>
  </si>
  <si>
    <t>We paid the $60 CAD for backcountry lift access, which took us to the foot of Blackcomb Glacier. From there we toured up towards The Spearhead and skiied down to Circle Lake. We then toured up the Decker Glacier and stopped for lunch at the saddle just east of Decker Mountain. We spent some time discussing whether we should ascend Decker Mountain but soon enough the weather changed and it was snowy with minimal visibility. Because of the poor visability, we were not comfortable descending or ascending anywhere. The weather remained poor much longer than we expected; we ended up building a small snow cave and sitting up on the ridge for roughly 2 hours waiting for the weather to open up. Eventually, the weather improved slightly and we followed another small group down Decker Glacier. Unfortunately, after a few turns down the steep glacier slope, it was a white out again. We waited for ~15 minutes for the visability to improve and when it did we skiied down towards the bottom of the basin. We then toured around Circle Lake up towards the Spearhead. We then descended all the way to the Whistler Village - probably a 45 minute run. When we reached Whistler Village, we literally skiied right to the side of a concert stage, where Busta Rhymes was performing. What a long, weird day.</t>
  </si>
  <si>
    <t>some sluffing</t>
  </si>
  <si>
    <t>Make sure you a very familiar with the weather forecast and develop a contingency plan in the case that you are stranded in a whiteout.</t>
  </si>
  <si>
    <t>8.5 hours</t>
  </si>
  <si>
    <t>Decker Glacier</t>
  </si>
  <si>
    <t>https://goo.gl/photos/fSaohPQm53VBrLeY9</t>
  </si>
  <si>
    <t>joffre lakes provincial park</t>
  </si>
  <si>
    <t>cayoosh mountain trailhead</t>
  </si>
  <si>
    <t>We had a tentative plan to tour up Cerise Creek towards Vantage Peak. Unfortunately, we parked at the wrong trailhead and didn't realize it until we were 20 minutes into our tour. Nonetheless, we decided to continue going, with a rough objective of Mount Chief Pascal. The approach was a classic spring bushwack. My skins were globbing and I broke one of my binding risers to boot. Eventually, we reached a knob up in the alpine zone with good views. We didn't achieve our objective - or really any objective at all - but we got some good turns in through the trees back down to the car.</t>
  </si>
  <si>
    <t>Make sure you are at the correct trailhead before you head out on the trail.</t>
  </si>
  <si>
    <t>Joffre Lakes vicinity</t>
  </si>
  <si>
    <t>https://goo.gl/photos/ggiHSuUBUcTP4jVb7</t>
  </si>
  <si>
    <t>the enchantments</t>
  </si>
  <si>
    <t>bridge creek campground</t>
  </si>
  <si>
    <t>We stayed overnight where the gate was closed at Bridge Creek Campground. We got an alpine start and hiked the road for ~2 miles on foot before putting on skis. We skinned on the road for another mile or so until the stuart trailhead. We eventually reached colchuck lake and then ascended towards colchuck peak. At around 7200 the weather changed and visibility was reduced to ~50 feet. We waited it out for about 45 minutes and then decided that it would not be wise to continue towards the summit because of weather and the time needed to exit the tour. We grudgingly decided to transition and then enjoyed some fun turns down to colchuck lake. From the lake we had a long 8 miles of up and down to exit.</t>
  </si>
  <si>
    <t>Have a good understanding of the weather forecast and know what the weather may be at various points in the tour. If we would have left an hour earlier we may have been able to reach the summit with better weather.</t>
  </si>
  <si>
    <t>13 hours</t>
  </si>
  <si>
    <t>Colchuck Peak</t>
  </si>
  <si>
    <t>https://goo.gl/photos/qZ48RYsKNQvHBpBa7</t>
  </si>
  <si>
    <t>no rating - spring</t>
  </si>
  <si>
    <t>We toured up to the north east buttress of chair peak and skiied the slopes below to snow lake. We then toured up to the ridge east of chair peak lake and then skiied the slopes below Mount Roosevelt. Then we toured across snow lake, up to snow lake divide, then skiied back to the car.</t>
  </si>
  <si>
    <t>Wear sunscreen in the spring. We got sunburns amidst snow showers.</t>
  </si>
  <si>
    <t>NE chair peak - E roosevelt slopes</t>
  </si>
  <si>
    <t>https://goo.gl/photos/UMCDftoVnHoXLNa58</t>
  </si>
  <si>
    <t>heliotrope ridge trailhead</t>
  </si>
  <si>
    <t>We begin skinning on the road about 1 mile shy of the heliotrope ridge trailhead. Once we got to the trailhead we took the southern route through the woods up to heliotrope ridge. From there we traversed until we reached Colfax Peak. We continued skinning until we reached reached the final approach to the false summit. We then strapped on crampons and put our skis on our backs and booted the final 500-1000 feet to the false summit. From the false summit it is a casual stroll to reach the true summit. After enjoying the views we skiied from the summit and down back to the flats. Although we brought crevasse travel/rescue gear, we did not rope up at all during the tour because of great snow coverage.</t>
  </si>
  <si>
    <t>Be prepared, even though you may not use all of the heavy gear that you must carry.</t>
  </si>
  <si>
    <t>Mount Baker via Colman-Deming</t>
  </si>
  <si>
    <t>https://goo.gl/photos/gR9YH6pxYDNcwHRt8</t>
  </si>
  <si>
    <t>timberline ski area</t>
  </si>
  <si>
    <t>Wes</t>
  </si>
  <si>
    <t>We got an alpine start at around 430 am and from the parking lot we could already observe a line of headlights approaching the summit. The palmer snowfield eventually became icey and steep and Alyssa was not able to continue. Wes and I continued up to Hogsback and put out skis on our back for the final bootpack to the summit. The trail was busy with dozens of climbers, with a few skiiers in the mix. The pearly gates had a different form than the previous year; this year it was less steep but rather than a shelf below, the run out continued all the way to the bottom of hogsback. The 1000 feet run out was intimidating but after realizing that the bootback was easier than last year, we charged up the pearly gates. At the summit, we observed a couple snowboarders dropping north onto the cooper spur, which looked very steep. We enjoyed the views and then walked west to the spot where we were to drop in the from the summit. Even with the warm weather, the snow off the summit was hard, although skiable. We took a couple survival ski turns before crossing back over to hogsback. Below hogsback, the ski to the bottom was pure butter.</t>
  </si>
  <si>
    <t>Be ambitious but cautious.</t>
  </si>
  <si>
    <t>Mount Hood via Hogsback-Pearly Gates</t>
  </si>
  <si>
    <t>https://goo.gl/photos/XW52GNbhqsCr8PvF9</t>
  </si>
  <si>
    <t>hyak forest road</t>
  </si>
  <si>
    <t>We got a casual start at 900 and enjoyed a quick skin up to Silver Peak on a mild late spring day. It was great to be able to ski at snoqualmie pass in mid june due to the great snow year.</t>
  </si>
  <si>
    <t>Get turns all year</t>
  </si>
  <si>
    <t>silver peak</t>
  </si>
  <si>
    <t>https://goo.gl/photos/55YTMEJ8Qv1yRqVx8</t>
  </si>
  <si>
    <t>white river campground</t>
  </si>
  <si>
    <t>Wes, Kaegan, Ben</t>
  </si>
  <si>
    <t>We started from the White River Campground and after one dicey river crossing, it was a steady, steep climb all the way to Steamboat Prow. On the ascent, the weathe was sunny and hot. By the time we reached Steamboat Prow, some weather moved in and it began to snow. After waiting for Ben for 30-45 minutes we descended and met up with him just below the summit. The descent was good spring skiing for several thousand feet and then a 1-2 mile exit on foot.</t>
  </si>
  <si>
    <t>some wet slides</t>
  </si>
  <si>
    <t>Develop a plan in advance for what to do if the group gets separated. Ben was slower on the ascent and we didn't wait for him so we ended up reaching the summit about an hour before he did. As a result we waited - and got cold as some snowy weather moved in. Eventually we descended and met up with him and couple hundred yards below the summit.</t>
  </si>
  <si>
    <t>9.5 hours</t>
  </si>
  <si>
    <t>steamboat prow</t>
  </si>
  <si>
    <t>https://goo.gl/photos/2rtnEidQrnUqPtEP7</t>
  </si>
  <si>
    <t>mount adams</t>
  </si>
  <si>
    <t>cold springs campground</t>
  </si>
  <si>
    <t>clear and windy</t>
  </si>
  <si>
    <t xml:space="preserve">We toured from the Cold Springs Campground. The weather was clear but there has heavy wind all day. At the summit it reached 30 mph. The ascent was icey and ski crampons were used most of the way above the Lunch Counter. We summitted and then descened the SW chutes around 3pm. We had great spring corn conditions. The exit was the usual bushwack with plenty of effort expended. </t>
  </si>
  <si>
    <t>plan the exit in greater detail</t>
  </si>
  <si>
    <t>11.5 hours</t>
  </si>
  <si>
    <t>mount adams - SW chutes</t>
  </si>
  <si>
    <t>https://goo.gl/photos/ofXC7tEX5nHSxdpn6</t>
  </si>
  <si>
    <t>mount lassen</t>
  </si>
  <si>
    <t>devasted area</t>
  </si>
  <si>
    <t>none</t>
  </si>
  <si>
    <t>I toured from the devasted area without a clear objective. I simply wanted to get some turns in. The road was closed but it looked mostly clear of snow so I put my skis on my back and mountain biked down the road for several miles. I hadn't planned where I was going nor knew if the road would take me towards the mountain. Well it didn't. As a result I ended up skinning up a small subpeak and got a few turns in.</t>
  </si>
  <si>
    <t>look at a map beforehand</t>
  </si>
  <si>
    <t>3.5 hours</t>
  </si>
  <si>
    <t>mount lassen vicinity</t>
  </si>
  <si>
    <t>https://goo.gl/photos/No72yqZG5UXy2Tad8</t>
  </si>
  <si>
    <t>Taylor</t>
  </si>
  <si>
    <t>From the devasted area, we hiked in 1-2 miles on foot, skinned for another mile or so, and then booted the remaining ~1,500 feet to the summit. Snow stopped a hundred feet from the summit, so we scrambled on very unstable scree to the true summit. On the top there are two small concrete platforms. We were greeting on the top by two other fellows, one who offered the remainder of his shocktop beer - which I accepted. The ski down was short but steep and good spring conditions.</t>
  </si>
  <si>
    <t>start early in the spring</t>
  </si>
  <si>
    <t>6.25 hours</t>
  </si>
  <si>
    <t>https://goo.gl/photos/TWnjgakC7xiKUsVB8</t>
  </si>
  <si>
    <t>carson pass</t>
  </si>
  <si>
    <t>round top</t>
  </si>
  <si>
    <t>Taylor, Lambo, Alyssa</t>
  </si>
  <si>
    <t>We toured from Carson Pass to Winnemucca Lake and then up to the east shoulder of Round Top and then descend back down east of Winnemucca.</t>
  </si>
  <si>
    <t>bring ski crampons for early season icey conditions</t>
  </si>
  <si>
    <t>round top east shoulder</t>
  </si>
  <si>
    <t>https://photos.app.goo.gl/h1ONc4zy006G6aA73</t>
  </si>
  <si>
    <t>mount rose</t>
  </si>
  <si>
    <t>tamarack peak</t>
  </si>
  <si>
    <t>low</t>
  </si>
  <si>
    <t>Taylor, Alyssa</t>
  </si>
  <si>
    <t>We toured the turnout just past mount rose ski area to tamarack peak. We skiied hourglass bowl, brokenglass bowl, and then proletariat, before skiiing directly back to the car.</t>
  </si>
  <si>
    <t>https://photos.app.goo.gl/TkcwkhABSVy41MLw1</t>
  </si>
  <si>
    <t>lake tahoe - west shore</t>
  </si>
  <si>
    <t>rubicon peak</t>
  </si>
  <si>
    <t>Taylor, Alyssa, Mason, Beth</t>
  </si>
  <si>
    <t>We toured from the closed gate at the end of the neighborhood right below the water tower. Although we skinned from the car, coverage was very low; we were skinning over snow covered brush. At about 8,000 feet the coverage improved. We enjoyed lunch on the summit and then descended. The top 1,000 feet were fun steep turns on 6 inches of light hoar-like snow. As we continued to descend, rocks became more prevalent, so we transitioned to skins and then eventually walked out on foot for the last quarter mile.</t>
  </si>
  <si>
    <t>bring voile straps. Mason experience skin failure with his brand new black diamond skins about a half mile from the return to the car.</t>
  </si>
  <si>
    <t>4.75 hours</t>
  </si>
  <si>
    <t>https://photos.app.goo.gl/eWrqtJhOaqQS3n4Z2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</si>
</sst>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9">
    <font>
      <sz val="10.0"/>
      <color rgb="FF000000"/>
      <name val="Arial"/>
    </font>
    <font>
      <b/>
    </font>
    <font/>
    <font>
      <u/>
      <color rgb="FF0000FF"/>
    </font>
    <font>
      <color rgb="FF000000"/>
      <name val="Arial"/>
    </font>
    <font>
      <color rgb="FF2A2A2A"/>
      <name val="&quot;Trebuchet MS&quot;"/>
    </font>
    <font>
      <color rgb="FF222222"/>
      <name val="Arial"/>
    </font>
    <font>
      <color rgb="FF000000"/>
      <name val="Arimo"/>
    </font>
    <font>
      <color rgb="FF0000FF"/>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64"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0" xfId="0" applyFont="1"/>
    <xf borderId="0" fillId="0" fontId="3" numFmtId="0" xfId="0" applyAlignment="1" applyFont="1">
      <alignment readingOrder="0"/>
    </xf>
    <xf borderId="0" fillId="3" fontId="4" numFmtId="0" xfId="0" applyAlignment="1" applyFill="1" applyFont="1">
      <alignment readingOrder="0"/>
    </xf>
    <xf borderId="0" fillId="3" fontId="5" numFmtId="0" xfId="0" applyAlignment="1" applyFont="1">
      <alignment readingOrder="0"/>
    </xf>
    <xf borderId="0" fillId="3" fontId="6" numFmtId="4" xfId="0" applyAlignment="1" applyFont="1" applyNumberFormat="1">
      <alignment readingOrder="0"/>
    </xf>
    <xf borderId="0" fillId="3" fontId="6" numFmtId="4" xfId="0" applyFont="1" applyNumberFormat="1"/>
    <xf borderId="0" fillId="3" fontId="6" numFmtId="0" xfId="0" applyAlignment="1" applyFont="1">
      <alignment readingOrder="0"/>
    </xf>
    <xf borderId="0" fillId="3" fontId="7" numFmtId="0" xfId="0" applyAlignment="1" applyFont="1">
      <alignment readingOrder="0"/>
    </xf>
    <xf borderId="0" fillId="0" fontId="8" numFmtId="0" xfId="0" applyAlignment="1" applyFont="1">
      <alignment readingOrder="0"/>
    </xf>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20" Type="http://schemas.openxmlformats.org/officeDocument/2006/relationships/hyperlink" Target="https://goo.gl/photos/ggiHSuUBUcTP4jVb7" TargetMode="External"/><Relationship Id="rId22" Type="http://schemas.openxmlformats.org/officeDocument/2006/relationships/hyperlink" Target="https://goo.gl/photos/UMCDftoVnHoXLNa58" TargetMode="External"/><Relationship Id="rId21" Type="http://schemas.openxmlformats.org/officeDocument/2006/relationships/hyperlink" Target="https://goo.gl/photos/qZ48RYsKNQvHBpBa7" TargetMode="External"/><Relationship Id="rId24" Type="http://schemas.openxmlformats.org/officeDocument/2006/relationships/hyperlink" Target="https://goo.gl/photos/XW52GNbhqsCr8PvF9" TargetMode="External"/><Relationship Id="rId23" Type="http://schemas.openxmlformats.org/officeDocument/2006/relationships/hyperlink" Target="https://goo.gl/photos/gR9YH6pxYDNcwHRt8" TargetMode="External"/><Relationship Id="rId1" Type="http://schemas.openxmlformats.org/officeDocument/2006/relationships/hyperlink" Target="https://goo.gl/photos/7UfuX4SdVa22ffd19" TargetMode="External"/><Relationship Id="rId2" Type="http://schemas.openxmlformats.org/officeDocument/2006/relationships/hyperlink" Target="https://goo.gl/photos/CLeb1sQ6snresNBQ9" TargetMode="External"/><Relationship Id="rId3" Type="http://schemas.openxmlformats.org/officeDocument/2006/relationships/hyperlink" Target="https://goo.gl/photos/7Qdmx9zpkP7qcYvbA" TargetMode="External"/><Relationship Id="rId4" Type="http://schemas.openxmlformats.org/officeDocument/2006/relationships/hyperlink" Target="https://goo.gl/photos/sdJAWiLCD5R1FfL49" TargetMode="External"/><Relationship Id="rId9" Type="http://schemas.openxmlformats.org/officeDocument/2006/relationships/hyperlink" Target="https://goo.gl/photos/dSTMC4R132MRyoAA8" TargetMode="External"/><Relationship Id="rId26" Type="http://schemas.openxmlformats.org/officeDocument/2006/relationships/hyperlink" Target="https://goo.gl/photos/2rtnEidQrnUqPtEP7" TargetMode="External"/><Relationship Id="rId25" Type="http://schemas.openxmlformats.org/officeDocument/2006/relationships/hyperlink" Target="https://goo.gl/photos/55YTMEJ8Qv1yRqVx8" TargetMode="External"/><Relationship Id="rId28" Type="http://schemas.openxmlformats.org/officeDocument/2006/relationships/hyperlink" Target="https://goo.gl/photos/No72yqZG5UXy2Tad8" TargetMode="External"/><Relationship Id="rId27" Type="http://schemas.openxmlformats.org/officeDocument/2006/relationships/hyperlink" Target="https://goo.gl/photos/ofXC7tEX5nHSxdpn6" TargetMode="External"/><Relationship Id="rId5" Type="http://schemas.openxmlformats.org/officeDocument/2006/relationships/hyperlink" Target="https://goo.gl/photos/8QLijYYcYF2fHJt49" TargetMode="External"/><Relationship Id="rId6" Type="http://schemas.openxmlformats.org/officeDocument/2006/relationships/hyperlink" Target="https://goo.gl/photos/AUQmvyL6jra3EhoL9" TargetMode="External"/><Relationship Id="rId29" Type="http://schemas.openxmlformats.org/officeDocument/2006/relationships/hyperlink" Target="https://goo.gl/photos/TWnjgakC7xiKUsVB8" TargetMode="External"/><Relationship Id="rId7" Type="http://schemas.openxmlformats.org/officeDocument/2006/relationships/hyperlink" Target="https://goo.gl/photos/vN9QYzuq3XzWfuQi6" TargetMode="External"/><Relationship Id="rId8" Type="http://schemas.openxmlformats.org/officeDocument/2006/relationships/hyperlink" Target="https://goo.gl/photos/7qD29Qw2RCB7J6Jz6" TargetMode="External"/><Relationship Id="rId31" Type="http://schemas.openxmlformats.org/officeDocument/2006/relationships/hyperlink" Target="https://photos.app.goo.gl/TkcwkhABSVy41MLw1" TargetMode="External"/><Relationship Id="rId30" Type="http://schemas.openxmlformats.org/officeDocument/2006/relationships/hyperlink" Target="https://photos.app.goo.gl/h1ONc4zy006G6aA73" TargetMode="External"/><Relationship Id="rId11" Type="http://schemas.openxmlformats.org/officeDocument/2006/relationships/hyperlink" Target="https://goo.gl/photos/Ad1EKGAorhXnmP1p8" TargetMode="External"/><Relationship Id="rId33" Type="http://schemas.openxmlformats.org/officeDocument/2006/relationships/drawing" Target="../drawings/drawing1.xml"/><Relationship Id="rId10" Type="http://schemas.openxmlformats.org/officeDocument/2006/relationships/hyperlink" Target="https://goo.gl/photos/Fg5VwXqRL1MESyU89" TargetMode="External"/><Relationship Id="rId32" Type="http://schemas.openxmlformats.org/officeDocument/2006/relationships/hyperlink" Target="https://photos.app.goo.gl/eWrqtJhOaqQS3n4Z2" TargetMode="External"/><Relationship Id="rId13" Type="http://schemas.openxmlformats.org/officeDocument/2006/relationships/hyperlink" Target="https://goo.gl/photos/2kXyBLP5cAJNrCSe9" TargetMode="External"/><Relationship Id="rId12" Type="http://schemas.openxmlformats.org/officeDocument/2006/relationships/hyperlink" Target="https://goo.gl/photos/CZp2HMVyfaZJR8Ev5" TargetMode="External"/><Relationship Id="rId15" Type="http://schemas.openxmlformats.org/officeDocument/2006/relationships/hyperlink" Target="https://goo.gl/photos/4YkYpkFpF65hfAtP9" TargetMode="External"/><Relationship Id="rId14" Type="http://schemas.openxmlformats.org/officeDocument/2006/relationships/hyperlink" Target="https://goo.gl/photos/mhaBZCV8KwAHU7to7" TargetMode="External"/><Relationship Id="rId17" Type="http://schemas.openxmlformats.org/officeDocument/2006/relationships/hyperlink" Target="https://goo.gl/photos/vbwSH4zZGAcjfWYZ7" TargetMode="External"/><Relationship Id="rId16" Type="http://schemas.openxmlformats.org/officeDocument/2006/relationships/hyperlink" Target="https://goo.gl/photos/yNGMB948gbX3odZN8" TargetMode="External"/><Relationship Id="rId19" Type="http://schemas.openxmlformats.org/officeDocument/2006/relationships/hyperlink" Target="https://goo.gl/photos/fSaohPQm53VBrLeY9" TargetMode="External"/><Relationship Id="rId18" Type="http://schemas.openxmlformats.org/officeDocument/2006/relationships/hyperlink" Target="https://goo.gl/photos/6z9abe5WkQdCqYTY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2" width="11.0"/>
    <col customWidth="1" min="3" max="3" width="23.57"/>
    <col customWidth="1" min="4" max="4" width="24.71"/>
    <col customWidth="1" min="5" max="5" width="17.86"/>
    <col customWidth="1" min="6" max="6" width="17.71"/>
    <col customWidth="1" min="7" max="7" width="26.71"/>
    <col customWidth="1" min="8" max="8" width="46.0"/>
    <col customWidth="1" min="9" max="9" width="20.86"/>
    <col customWidth="1" min="10" max="10" width="32.14"/>
    <col customWidth="1" min="11" max="11" width="34.43"/>
    <col customWidth="1" min="12" max="12" width="16.71"/>
    <col customWidth="1" min="13" max="13" width="31.14"/>
    <col customWidth="1" min="14" max="14" width="6.86"/>
    <col customWidth="1" min="15" max="15" width="6.43"/>
    <col customWidth="1" min="17" max="18" width="19.14"/>
    <col customWidth="1" min="19" max="19" width="21.43"/>
    <col customWidth="1" min="20" max="20" width="18.71"/>
    <col customWidth="1" min="22" max="22" width="34.57"/>
    <col customWidth="1" min="23" max="23" width="21.43"/>
    <col customWidth="1" min="24" max="24" width="42.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3">
        <v>1.0</v>
      </c>
      <c r="B2" s="4">
        <v>42721.0</v>
      </c>
      <c r="C2" s="3" t="s">
        <v>24</v>
      </c>
      <c r="D2" s="3" t="s">
        <v>25</v>
      </c>
      <c r="E2" s="3" t="s">
        <v>26</v>
      </c>
      <c r="F2" s="3" t="s">
        <v>27</v>
      </c>
      <c r="G2" s="3" t="s">
        <v>28</v>
      </c>
      <c r="H2" s="3" t="s">
        <v>29</v>
      </c>
      <c r="I2" s="3">
        <v>10.0</v>
      </c>
      <c r="J2" s="3" t="s">
        <v>30</v>
      </c>
      <c r="K2" s="3" t="s">
        <v>31</v>
      </c>
      <c r="L2" s="3" t="s">
        <v>32</v>
      </c>
      <c r="M2" s="3" t="s">
        <v>33</v>
      </c>
      <c r="N2" s="3">
        <v>850.0</v>
      </c>
      <c r="O2" s="3">
        <v>1550.0</v>
      </c>
      <c r="P2" t="str">
        <f t="shared" ref="P2:P19" si="1">CONCAT((O2-N2)/100," hours")</f>
        <v>7 hours</v>
      </c>
      <c r="Q2" s="3">
        <v>3280.0</v>
      </c>
      <c r="R2" s="5" t="s">
        <v>34</v>
      </c>
      <c r="S2" s="3">
        <v>4280.0</v>
      </c>
      <c r="T2" s="3">
        <v>1000.0</v>
      </c>
      <c r="U2" s="3">
        <v>7.0</v>
      </c>
      <c r="V2" s="3" t="s">
        <v>35</v>
      </c>
      <c r="W2" s="3" t="s">
        <v>36</v>
      </c>
      <c r="X2" s="6" t="s">
        <v>37</v>
      </c>
    </row>
    <row r="3">
      <c r="A3" s="3">
        <v>2.0</v>
      </c>
      <c r="B3" s="4">
        <v>42722.0</v>
      </c>
      <c r="C3" s="3" t="s">
        <v>24</v>
      </c>
      <c r="D3" s="3" t="s">
        <v>25</v>
      </c>
      <c r="E3" s="3" t="s">
        <v>26</v>
      </c>
      <c r="F3" s="3" t="s">
        <v>27</v>
      </c>
      <c r="G3" s="3" t="s">
        <v>38</v>
      </c>
      <c r="H3" s="3" t="s">
        <v>29</v>
      </c>
      <c r="I3" s="3">
        <v>10.0</v>
      </c>
      <c r="J3" s="3" t="s">
        <v>39</v>
      </c>
      <c r="K3" s="3" t="s">
        <v>31</v>
      </c>
      <c r="L3" s="3" t="s">
        <v>32</v>
      </c>
      <c r="M3" s="3" t="s">
        <v>33</v>
      </c>
      <c r="N3" s="3">
        <v>850.0</v>
      </c>
      <c r="O3" s="3">
        <v>1550.0</v>
      </c>
      <c r="P3" t="str">
        <f t="shared" si="1"/>
        <v>7 hours</v>
      </c>
      <c r="Q3" s="3">
        <v>3280.0</v>
      </c>
      <c r="R3" s="5" t="s">
        <v>34</v>
      </c>
      <c r="S3" s="3">
        <v>4280.0</v>
      </c>
      <c r="T3" s="3">
        <v>1000.0</v>
      </c>
      <c r="U3" s="3">
        <v>7.0</v>
      </c>
      <c r="V3" s="3" t="s">
        <v>40</v>
      </c>
      <c r="W3" s="3" t="s">
        <v>36</v>
      </c>
      <c r="X3" s="3" t="s">
        <v>41</v>
      </c>
    </row>
    <row r="4">
      <c r="A4" s="3">
        <v>3.0</v>
      </c>
      <c r="B4" s="4">
        <v>42714.0</v>
      </c>
      <c r="C4" s="3" t="s">
        <v>42</v>
      </c>
      <c r="D4" s="3" t="s">
        <v>43</v>
      </c>
      <c r="E4" s="3" t="s">
        <v>26</v>
      </c>
      <c r="F4" s="3" t="s">
        <v>44</v>
      </c>
      <c r="G4" s="3" t="s">
        <v>28</v>
      </c>
      <c r="H4" s="3" t="s">
        <v>45</v>
      </c>
      <c r="I4" s="3">
        <v>4.0</v>
      </c>
      <c r="J4" s="3" t="s">
        <v>46</v>
      </c>
      <c r="K4" s="7" t="s">
        <v>47</v>
      </c>
      <c r="L4" s="3" t="s">
        <v>26</v>
      </c>
      <c r="M4" s="3" t="s">
        <v>48</v>
      </c>
      <c r="N4" s="3">
        <v>1050.0</v>
      </c>
      <c r="O4" s="3">
        <v>1700.0</v>
      </c>
      <c r="P4" t="str">
        <f t="shared" si="1"/>
        <v>6.5 hours</v>
      </c>
      <c r="Q4" s="3">
        <v>3600.0</v>
      </c>
      <c r="R4" s="5" t="s">
        <v>49</v>
      </c>
      <c r="S4" s="3">
        <v>5200.0</v>
      </c>
      <c r="T4" s="3">
        <v>2000.0</v>
      </c>
      <c r="U4" s="3">
        <v>8.0</v>
      </c>
      <c r="V4" s="3" t="s">
        <v>50</v>
      </c>
      <c r="W4" s="3" t="s">
        <v>36</v>
      </c>
      <c r="X4" s="6" t="s">
        <v>51</v>
      </c>
    </row>
    <row r="5">
      <c r="A5" s="3">
        <v>4.0</v>
      </c>
      <c r="B5" s="4">
        <v>42707.0</v>
      </c>
      <c r="C5" s="3" t="s">
        <v>52</v>
      </c>
      <c r="D5" s="3" t="s">
        <v>53</v>
      </c>
      <c r="E5" s="3" t="s">
        <v>26</v>
      </c>
      <c r="F5" s="3" t="s">
        <v>44</v>
      </c>
      <c r="G5" s="3" t="s">
        <v>28</v>
      </c>
      <c r="H5" s="3" t="s">
        <v>54</v>
      </c>
      <c r="I5" s="3">
        <v>4.0</v>
      </c>
      <c r="J5" s="3" t="s">
        <v>55</v>
      </c>
      <c r="K5" s="3" t="s">
        <v>31</v>
      </c>
      <c r="L5" s="3" t="s">
        <v>32</v>
      </c>
      <c r="M5" s="3" t="s">
        <v>56</v>
      </c>
      <c r="N5" s="3">
        <v>950.0</v>
      </c>
      <c r="O5" s="3">
        <v>1400.0</v>
      </c>
      <c r="P5" t="str">
        <f t="shared" si="1"/>
        <v>4.5 hours</v>
      </c>
      <c r="Q5" s="3">
        <v>4400.0</v>
      </c>
      <c r="R5" s="5" t="s">
        <v>57</v>
      </c>
      <c r="S5" s="3">
        <v>6400.0</v>
      </c>
      <c r="T5" s="3">
        <v>2600.0</v>
      </c>
      <c r="U5" s="3">
        <v>7.0</v>
      </c>
      <c r="V5" s="3" t="s">
        <v>58</v>
      </c>
      <c r="W5" s="3" t="s">
        <v>36</v>
      </c>
      <c r="X5" s="3" t="s">
        <v>41</v>
      </c>
    </row>
    <row r="6">
      <c r="A6" s="3">
        <v>5.0</v>
      </c>
      <c r="B6" s="4">
        <v>42701.0</v>
      </c>
      <c r="C6" s="3" t="s">
        <v>42</v>
      </c>
      <c r="D6" s="3" t="s">
        <v>59</v>
      </c>
      <c r="E6" s="3" t="s">
        <v>32</v>
      </c>
      <c r="F6" s="3" t="s">
        <v>44</v>
      </c>
      <c r="G6" s="3" t="s">
        <v>60</v>
      </c>
      <c r="H6" s="3" t="s">
        <v>61</v>
      </c>
      <c r="I6" s="3">
        <v>3.0</v>
      </c>
      <c r="J6" s="3" t="s">
        <v>62</v>
      </c>
      <c r="K6" s="3" t="s">
        <v>31</v>
      </c>
      <c r="L6" s="3" t="s">
        <v>32</v>
      </c>
      <c r="M6" s="3" t="s">
        <v>63</v>
      </c>
      <c r="N6" s="3">
        <v>1000.0</v>
      </c>
      <c r="O6" s="3">
        <v>1600.0</v>
      </c>
      <c r="P6" t="str">
        <f t="shared" si="1"/>
        <v>6 hours</v>
      </c>
      <c r="Q6" s="3">
        <v>4000.0</v>
      </c>
      <c r="R6" s="5" t="s">
        <v>64</v>
      </c>
      <c r="S6" s="3">
        <v>5600.0</v>
      </c>
      <c r="T6" s="3">
        <v>2000.0</v>
      </c>
      <c r="U6" s="3">
        <v>6.0</v>
      </c>
      <c r="V6" s="3" t="s">
        <v>65</v>
      </c>
      <c r="W6" s="3" t="s">
        <v>36</v>
      </c>
      <c r="X6" s="3" t="s">
        <v>41</v>
      </c>
    </row>
    <row r="7">
      <c r="A7" s="3">
        <v>6.0</v>
      </c>
      <c r="B7" s="4">
        <v>42693.0</v>
      </c>
      <c r="C7" s="3" t="s">
        <v>66</v>
      </c>
      <c r="D7" s="3" t="s">
        <v>67</v>
      </c>
      <c r="E7" s="3" t="s">
        <v>26</v>
      </c>
      <c r="F7" s="3" t="s">
        <v>44</v>
      </c>
      <c r="G7" s="3" t="s">
        <v>28</v>
      </c>
      <c r="H7" s="3" t="s">
        <v>68</v>
      </c>
      <c r="I7" s="3">
        <v>3.0</v>
      </c>
      <c r="J7" s="3" t="s">
        <v>69</v>
      </c>
      <c r="K7" s="3" t="s">
        <v>31</v>
      </c>
      <c r="L7" s="3" t="s">
        <v>32</v>
      </c>
      <c r="M7" s="3" t="s">
        <v>70</v>
      </c>
      <c r="N7" s="3">
        <v>950.0</v>
      </c>
      <c r="O7" s="3">
        <v>1600.0</v>
      </c>
      <c r="P7" t="str">
        <f t="shared" si="1"/>
        <v>6.5 hours</v>
      </c>
      <c r="Q7" s="3">
        <v>5400.0</v>
      </c>
      <c r="R7" s="5" t="s">
        <v>49</v>
      </c>
      <c r="S7" s="3">
        <v>6300.0</v>
      </c>
      <c r="T7" s="3">
        <v>3000.0</v>
      </c>
      <c r="U7" s="3">
        <v>7.0</v>
      </c>
      <c r="V7" s="3" t="s">
        <v>71</v>
      </c>
      <c r="W7" s="3" t="s">
        <v>36</v>
      </c>
      <c r="X7" s="6" t="s">
        <v>72</v>
      </c>
    </row>
    <row r="8">
      <c r="A8" s="3">
        <v>7.0</v>
      </c>
      <c r="B8" s="4">
        <v>42665.0</v>
      </c>
      <c r="C8" s="3" t="s">
        <v>73</v>
      </c>
      <c r="D8" s="3" t="s">
        <v>74</v>
      </c>
      <c r="E8" s="3" t="s">
        <v>26</v>
      </c>
      <c r="F8" s="3" t="s">
        <v>27</v>
      </c>
      <c r="G8" s="3" t="s">
        <v>38</v>
      </c>
      <c r="H8" s="3" t="s">
        <v>75</v>
      </c>
      <c r="I8" s="3">
        <v>3.0</v>
      </c>
      <c r="J8" s="3" t="s">
        <v>76</v>
      </c>
      <c r="K8" s="3" t="s">
        <v>31</v>
      </c>
      <c r="L8" s="3" t="s">
        <v>32</v>
      </c>
      <c r="M8" s="3" t="s">
        <v>77</v>
      </c>
      <c r="N8" s="3">
        <v>950.0</v>
      </c>
      <c r="O8" s="3">
        <v>1600.0</v>
      </c>
      <c r="P8" t="str">
        <f t="shared" si="1"/>
        <v>6.5 hours</v>
      </c>
      <c r="Q8" s="3">
        <f>S8-T8</f>
        <v>5400</v>
      </c>
      <c r="R8" s="5" t="s">
        <v>49</v>
      </c>
      <c r="S8" s="8">
        <v>10080.0</v>
      </c>
      <c r="T8" s="3">
        <v>4680.0</v>
      </c>
      <c r="U8" s="3">
        <v>9.0</v>
      </c>
      <c r="V8" s="3" t="s">
        <v>78</v>
      </c>
      <c r="W8" s="3" t="s">
        <v>36</v>
      </c>
      <c r="X8" s="3" t="s">
        <v>41</v>
      </c>
    </row>
    <row r="9">
      <c r="A9" s="3">
        <v>8.0</v>
      </c>
      <c r="B9" s="4">
        <v>42749.0</v>
      </c>
      <c r="C9" s="3" t="s">
        <v>24</v>
      </c>
      <c r="D9" s="3" t="s">
        <v>25</v>
      </c>
      <c r="E9" s="3" t="s">
        <v>32</v>
      </c>
      <c r="F9" s="3" t="s">
        <v>27</v>
      </c>
      <c r="G9" s="3" t="s">
        <v>79</v>
      </c>
      <c r="H9" s="3" t="s">
        <v>54</v>
      </c>
      <c r="I9" s="3">
        <v>4.0</v>
      </c>
      <c r="J9" s="3" t="s">
        <v>80</v>
      </c>
      <c r="K9" s="3" t="s">
        <v>81</v>
      </c>
      <c r="L9" s="3" t="s">
        <v>26</v>
      </c>
      <c r="M9" s="3" t="s">
        <v>82</v>
      </c>
      <c r="N9" s="3">
        <v>675.0</v>
      </c>
      <c r="O9" s="3">
        <v>1250.0</v>
      </c>
      <c r="P9" t="str">
        <f t="shared" si="1"/>
        <v>5.75 hours</v>
      </c>
      <c r="Q9" s="3">
        <v>3280.0</v>
      </c>
      <c r="R9" s="5" t="s">
        <v>83</v>
      </c>
      <c r="S9" s="3">
        <v>5500.0</v>
      </c>
      <c r="T9" s="3">
        <v>3200.0</v>
      </c>
      <c r="U9" s="3">
        <v>8.0</v>
      </c>
      <c r="V9" s="3" t="s">
        <v>84</v>
      </c>
      <c r="W9" s="3" t="s">
        <v>36</v>
      </c>
      <c r="X9" s="6" t="s">
        <v>85</v>
      </c>
    </row>
    <row r="10">
      <c r="A10" s="3">
        <v>9.0</v>
      </c>
      <c r="B10" s="4">
        <v>42750.0</v>
      </c>
      <c r="C10" s="3" t="s">
        <v>24</v>
      </c>
      <c r="D10" s="3" t="s">
        <v>25</v>
      </c>
      <c r="E10" s="3" t="s">
        <v>26</v>
      </c>
      <c r="F10" s="3" t="s">
        <v>27</v>
      </c>
      <c r="G10" s="3" t="s">
        <v>79</v>
      </c>
      <c r="H10" s="3" t="s">
        <v>86</v>
      </c>
      <c r="I10" s="3">
        <v>5.0</v>
      </c>
      <c r="J10" s="3" t="s">
        <v>87</v>
      </c>
      <c r="K10" s="3" t="s">
        <v>31</v>
      </c>
      <c r="L10" s="3" t="s">
        <v>32</v>
      </c>
      <c r="M10" s="3" t="s">
        <v>88</v>
      </c>
      <c r="N10" s="3">
        <v>700.0</v>
      </c>
      <c r="O10" s="3">
        <v>1500.0</v>
      </c>
      <c r="P10" t="str">
        <f t="shared" si="1"/>
        <v>8 hours</v>
      </c>
      <c r="Q10" s="3">
        <v>3280.0</v>
      </c>
      <c r="R10" s="5" t="s">
        <v>89</v>
      </c>
      <c r="S10" s="3">
        <v>5800.0</v>
      </c>
      <c r="T10" s="3">
        <v>5000.0</v>
      </c>
      <c r="U10" s="3">
        <v>9.0</v>
      </c>
      <c r="V10" s="3" t="s">
        <v>90</v>
      </c>
      <c r="W10" s="3" t="s">
        <v>36</v>
      </c>
      <c r="X10" s="6" t="s">
        <v>91</v>
      </c>
    </row>
    <row r="11">
      <c r="A11" s="3">
        <v>10.0</v>
      </c>
      <c r="B11" s="4">
        <v>42756.0</v>
      </c>
      <c r="C11" s="3" t="s">
        <v>92</v>
      </c>
      <c r="D11" s="3" t="s">
        <v>93</v>
      </c>
      <c r="E11" s="3" t="s">
        <v>26</v>
      </c>
      <c r="F11" s="3" t="s">
        <v>27</v>
      </c>
      <c r="G11" s="3" t="s">
        <v>60</v>
      </c>
      <c r="H11" s="3" t="s">
        <v>94</v>
      </c>
      <c r="I11" s="3">
        <v>6.0</v>
      </c>
      <c r="J11" s="3" t="s">
        <v>95</v>
      </c>
      <c r="K11" s="3" t="s">
        <v>96</v>
      </c>
      <c r="L11" s="3" t="s">
        <v>26</v>
      </c>
      <c r="M11" s="3" t="s">
        <v>97</v>
      </c>
      <c r="N11" s="3">
        <v>1050.0</v>
      </c>
      <c r="O11" s="3">
        <v>1800.0</v>
      </c>
      <c r="P11" t="str">
        <f t="shared" si="1"/>
        <v>7.5 hours</v>
      </c>
      <c r="Q11" s="3">
        <v>3800.0</v>
      </c>
      <c r="R11" s="5" t="s">
        <v>98</v>
      </c>
      <c r="S11" s="3">
        <f>T11+Q11</f>
        <v>6300</v>
      </c>
      <c r="T11" s="3">
        <v>2500.0</v>
      </c>
      <c r="U11" s="3">
        <v>8.0</v>
      </c>
      <c r="V11" s="3" t="s">
        <v>99</v>
      </c>
      <c r="W11" s="3" t="s">
        <v>36</v>
      </c>
      <c r="X11" s="6" t="s">
        <v>100</v>
      </c>
    </row>
    <row r="12">
      <c r="A12" s="3">
        <v>11.0</v>
      </c>
      <c r="B12" s="4">
        <v>42764.0</v>
      </c>
      <c r="C12" s="3" t="s">
        <v>24</v>
      </c>
      <c r="D12" s="3" t="s">
        <v>101</v>
      </c>
      <c r="E12" s="3" t="s">
        <v>32</v>
      </c>
      <c r="F12" s="3" t="s">
        <v>27</v>
      </c>
      <c r="G12" s="3" t="s">
        <v>102</v>
      </c>
      <c r="H12" s="3" t="s">
        <v>103</v>
      </c>
      <c r="I12" s="3">
        <v>2.0</v>
      </c>
      <c r="J12" s="3" t="s">
        <v>104</v>
      </c>
      <c r="K12" s="3" t="s">
        <v>105</v>
      </c>
      <c r="L12" s="3" t="s">
        <v>26</v>
      </c>
      <c r="M12" s="3" t="s">
        <v>106</v>
      </c>
      <c r="N12" s="3">
        <v>800.0</v>
      </c>
      <c r="O12" s="3">
        <v>1700.0</v>
      </c>
      <c r="P12" t="str">
        <f t="shared" si="1"/>
        <v>9 hours</v>
      </c>
      <c r="Q12" s="3">
        <v>3000.0</v>
      </c>
      <c r="R12" s="5" t="s">
        <v>107</v>
      </c>
      <c r="S12" s="3">
        <v>5400.0</v>
      </c>
      <c r="T12" s="3">
        <v>3500.0</v>
      </c>
      <c r="U12" s="3">
        <v>9.0</v>
      </c>
      <c r="V12" s="3" t="s">
        <v>108</v>
      </c>
      <c r="W12" s="3" t="s">
        <v>36</v>
      </c>
      <c r="X12" s="6" t="s">
        <v>109</v>
      </c>
    </row>
    <row r="13">
      <c r="A13" s="3">
        <v>12.0</v>
      </c>
      <c r="B13" s="4">
        <v>42772.0</v>
      </c>
      <c r="C13" s="3" t="s">
        <v>24</v>
      </c>
      <c r="D13" s="3" t="s">
        <v>110</v>
      </c>
      <c r="E13" s="3" t="s">
        <v>32</v>
      </c>
      <c r="F13" s="3" t="s">
        <v>44</v>
      </c>
      <c r="G13" s="3" t="s">
        <v>111</v>
      </c>
      <c r="H13" s="3" t="s">
        <v>112</v>
      </c>
      <c r="I13" s="3">
        <v>2.0</v>
      </c>
      <c r="J13" s="3" t="s">
        <v>113</v>
      </c>
      <c r="K13" s="3" t="s">
        <v>114</v>
      </c>
      <c r="L13" s="3" t="s">
        <v>32</v>
      </c>
      <c r="M13" s="3" t="s">
        <v>115</v>
      </c>
      <c r="N13" s="3">
        <v>1500.0</v>
      </c>
      <c r="O13" s="3">
        <v>1750.0</v>
      </c>
      <c r="P13" t="str">
        <f t="shared" si="1"/>
        <v>2.5 hours</v>
      </c>
      <c r="Q13" s="3">
        <v>3000.0</v>
      </c>
      <c r="R13" s="5" t="s">
        <v>116</v>
      </c>
      <c r="S13" s="3">
        <v>4000.0</v>
      </c>
      <c r="T13" s="3">
        <v>2000.0</v>
      </c>
      <c r="U13" s="3">
        <v>4.0</v>
      </c>
      <c r="V13" s="3" t="s">
        <v>117</v>
      </c>
      <c r="W13" s="3" t="s">
        <v>36</v>
      </c>
      <c r="X13" s="3" t="s">
        <v>41</v>
      </c>
    </row>
    <row r="14">
      <c r="A14" s="3">
        <v>13.0</v>
      </c>
      <c r="B14" s="4">
        <v>42778.0</v>
      </c>
      <c r="C14" s="3" t="s">
        <v>24</v>
      </c>
      <c r="D14" s="3" t="s">
        <v>25</v>
      </c>
      <c r="E14" s="3" t="s">
        <v>26</v>
      </c>
      <c r="F14" s="3" t="s">
        <v>27</v>
      </c>
      <c r="G14" s="3" t="s">
        <v>118</v>
      </c>
      <c r="H14" s="3" t="s">
        <v>119</v>
      </c>
      <c r="I14" s="3">
        <v>4.0</v>
      </c>
      <c r="J14" s="3" t="s">
        <v>120</v>
      </c>
      <c r="K14" s="3" t="s">
        <v>31</v>
      </c>
      <c r="L14" s="3" t="s">
        <v>32</v>
      </c>
      <c r="M14" s="3" t="s">
        <v>121</v>
      </c>
      <c r="N14" s="3">
        <v>850.0</v>
      </c>
      <c r="O14" s="3">
        <v>1400.0</v>
      </c>
      <c r="P14" t="str">
        <f t="shared" si="1"/>
        <v>5.5 hours</v>
      </c>
      <c r="Q14" s="3">
        <v>3280.0</v>
      </c>
      <c r="R14" s="5" t="s">
        <v>122</v>
      </c>
      <c r="S14" s="3">
        <v>5500.0</v>
      </c>
      <c r="T14" s="3">
        <v>3200.0</v>
      </c>
      <c r="U14" s="3">
        <v>8.0</v>
      </c>
      <c r="V14" s="3" t="s">
        <v>84</v>
      </c>
      <c r="W14" s="3" t="s">
        <v>36</v>
      </c>
      <c r="X14" s="6" t="s">
        <v>123</v>
      </c>
    </row>
    <row r="15">
      <c r="A15" s="3">
        <v>14.0</v>
      </c>
      <c r="B15" s="4">
        <v>42784.0</v>
      </c>
      <c r="C15" s="3" t="s">
        <v>124</v>
      </c>
      <c r="D15" s="3" t="s">
        <v>125</v>
      </c>
      <c r="E15" s="3" t="s">
        <v>26</v>
      </c>
      <c r="F15" s="3" t="s">
        <v>44</v>
      </c>
      <c r="G15" s="3" t="s">
        <v>60</v>
      </c>
      <c r="H15" s="3" t="s">
        <v>112</v>
      </c>
      <c r="I15" s="3">
        <v>2.0</v>
      </c>
      <c r="J15" s="3" t="s">
        <v>126</v>
      </c>
      <c r="K15" s="3" t="s">
        <v>31</v>
      </c>
      <c r="L15" s="3" t="s">
        <v>32</v>
      </c>
      <c r="M15" s="3" t="s">
        <v>127</v>
      </c>
      <c r="N15" s="3">
        <v>950.0</v>
      </c>
      <c r="O15" s="3">
        <v>1600.0</v>
      </c>
      <c r="P15" t="str">
        <f t="shared" si="1"/>
        <v>6.5 hours</v>
      </c>
      <c r="Q15" s="3">
        <v>4600.0</v>
      </c>
      <c r="R15" s="5" t="s">
        <v>49</v>
      </c>
      <c r="S15" s="3">
        <v>7000.0</v>
      </c>
      <c r="T15" s="3">
        <v>3000.0</v>
      </c>
      <c r="U15" s="3">
        <v>8.0</v>
      </c>
      <c r="V15" s="3" t="s">
        <v>128</v>
      </c>
      <c r="W15" s="3" t="s">
        <v>36</v>
      </c>
      <c r="X15" s="6" t="s">
        <v>129</v>
      </c>
    </row>
    <row r="16">
      <c r="A16" s="3">
        <v>15.0</v>
      </c>
      <c r="B16" s="4">
        <v>42785.0</v>
      </c>
      <c r="C16" s="3" t="s">
        <v>124</v>
      </c>
      <c r="D16" s="3" t="s">
        <v>130</v>
      </c>
      <c r="E16" s="3" t="s">
        <v>32</v>
      </c>
      <c r="F16" s="3" t="s">
        <v>27</v>
      </c>
      <c r="G16" s="3" t="s">
        <v>60</v>
      </c>
      <c r="H16" s="3" t="s">
        <v>112</v>
      </c>
      <c r="I16" s="3">
        <v>2.0</v>
      </c>
      <c r="J16" s="3" t="s">
        <v>131</v>
      </c>
      <c r="K16" s="3" t="s">
        <v>31</v>
      </c>
      <c r="L16" s="3" t="s">
        <v>32</v>
      </c>
      <c r="M16" s="3" t="s">
        <v>132</v>
      </c>
      <c r="N16" s="3">
        <v>900.0</v>
      </c>
      <c r="O16" s="3">
        <v>1700.0</v>
      </c>
      <c r="P16" t="str">
        <f t="shared" si="1"/>
        <v>8 hours</v>
      </c>
      <c r="Q16" s="3">
        <v>4190.0</v>
      </c>
      <c r="R16" s="5" t="s">
        <v>89</v>
      </c>
      <c r="S16" s="3">
        <v>6890.0</v>
      </c>
      <c r="T16" s="3">
        <v>3800.0</v>
      </c>
      <c r="U16" s="3">
        <v>8.6992</v>
      </c>
      <c r="V16" s="3" t="s">
        <v>133</v>
      </c>
      <c r="W16" s="3" t="s">
        <v>36</v>
      </c>
      <c r="X16" s="6" t="s">
        <v>134</v>
      </c>
    </row>
    <row r="17">
      <c r="A17" s="3">
        <v>16.0</v>
      </c>
      <c r="B17" s="4">
        <v>42786.0</v>
      </c>
      <c r="C17" s="3" t="s">
        <v>124</v>
      </c>
      <c r="D17" s="3" t="s">
        <v>130</v>
      </c>
      <c r="E17" s="3" t="s">
        <v>26</v>
      </c>
      <c r="F17" s="3" t="s">
        <v>27</v>
      </c>
      <c r="G17" s="3" t="s">
        <v>118</v>
      </c>
      <c r="H17" s="3" t="s">
        <v>112</v>
      </c>
      <c r="I17" s="3">
        <v>2.0</v>
      </c>
      <c r="J17" s="3" t="s">
        <v>135</v>
      </c>
      <c r="K17" s="3" t="s">
        <v>31</v>
      </c>
      <c r="L17" s="3" t="s">
        <v>32</v>
      </c>
      <c r="M17" s="3" t="s">
        <v>136</v>
      </c>
      <c r="N17" s="3">
        <v>950.0</v>
      </c>
      <c r="O17" s="3">
        <v>1550.0</v>
      </c>
      <c r="P17" t="str">
        <f t="shared" si="1"/>
        <v>6 hours</v>
      </c>
      <c r="Q17" s="3">
        <v>4000.0</v>
      </c>
      <c r="R17" s="5" t="s">
        <v>64</v>
      </c>
      <c r="S17" s="3">
        <v>7200.0</v>
      </c>
      <c r="T17" s="3">
        <v>3600.0</v>
      </c>
      <c r="U17" s="3">
        <v>6.0</v>
      </c>
      <c r="V17" s="3" t="s">
        <v>137</v>
      </c>
      <c r="W17" s="3" t="s">
        <v>36</v>
      </c>
      <c r="X17" s="6" t="s">
        <v>138</v>
      </c>
    </row>
    <row r="18">
      <c r="A18" s="3">
        <v>17.0</v>
      </c>
      <c r="B18" s="4">
        <v>42791.0</v>
      </c>
      <c r="C18" s="3" t="s">
        <v>24</v>
      </c>
      <c r="D18" s="3" t="s">
        <v>25</v>
      </c>
      <c r="E18" s="3" t="s">
        <v>26</v>
      </c>
      <c r="F18" s="3" t="s">
        <v>27</v>
      </c>
      <c r="G18" s="3" t="s">
        <v>60</v>
      </c>
      <c r="H18" s="3" t="s">
        <v>103</v>
      </c>
      <c r="I18" s="3">
        <v>2.0</v>
      </c>
      <c r="J18" s="3" t="s">
        <v>139</v>
      </c>
      <c r="K18" s="3" t="s">
        <v>140</v>
      </c>
      <c r="L18" s="3" t="s">
        <v>26</v>
      </c>
      <c r="M18" s="3" t="s">
        <v>141</v>
      </c>
      <c r="N18" s="3">
        <v>800.0</v>
      </c>
      <c r="O18" s="3">
        <v>1700.0</v>
      </c>
      <c r="P18" t="str">
        <f t="shared" si="1"/>
        <v>9 hours</v>
      </c>
      <c r="Q18" s="3">
        <v>3280.0</v>
      </c>
      <c r="R18" s="5" t="s">
        <v>107</v>
      </c>
      <c r="S18" s="3">
        <v>5700.0</v>
      </c>
      <c r="T18" s="3">
        <v>4000.0</v>
      </c>
      <c r="U18" s="3">
        <v>10.0</v>
      </c>
      <c r="V18" s="3" t="s">
        <v>142</v>
      </c>
      <c r="W18" s="3" t="s">
        <v>36</v>
      </c>
      <c r="X18" s="6" t="s">
        <v>143</v>
      </c>
    </row>
    <row r="19">
      <c r="A19" s="3">
        <v>18.0</v>
      </c>
      <c r="B19" s="4">
        <v>42799.0</v>
      </c>
      <c r="C19" s="3" t="s">
        <v>24</v>
      </c>
      <c r="D19" s="3" t="s">
        <v>110</v>
      </c>
      <c r="E19" s="3" t="s">
        <v>26</v>
      </c>
      <c r="F19" s="3" t="s">
        <v>27</v>
      </c>
      <c r="G19" s="3" t="s">
        <v>102</v>
      </c>
      <c r="H19" s="3" t="s">
        <v>144</v>
      </c>
      <c r="I19" s="3">
        <v>3.0</v>
      </c>
      <c r="J19" s="3" t="s">
        <v>145</v>
      </c>
      <c r="K19" s="3" t="s">
        <v>31</v>
      </c>
      <c r="L19" s="3" t="s">
        <v>32</v>
      </c>
      <c r="M19" s="3" t="s">
        <v>146</v>
      </c>
      <c r="N19" s="3">
        <v>950.0</v>
      </c>
      <c r="O19" s="3">
        <v>1500.0</v>
      </c>
      <c r="P19" t="str">
        <f t="shared" si="1"/>
        <v>5.5 hours</v>
      </c>
      <c r="Q19" s="9">
        <v>2961.29</v>
      </c>
      <c r="R19" s="10" t="s">
        <v>122</v>
      </c>
      <c r="S19" s="9">
        <v>5414.86</v>
      </c>
      <c r="T19" s="9">
        <v>2447.18</v>
      </c>
      <c r="U19" s="11">
        <v>6.0</v>
      </c>
      <c r="V19" s="3" t="s">
        <v>147</v>
      </c>
      <c r="W19" s="3" t="s">
        <v>148</v>
      </c>
      <c r="X19" s="6" t="s">
        <v>149</v>
      </c>
    </row>
    <row r="20">
      <c r="A20" s="3">
        <v>19.0</v>
      </c>
      <c r="B20" s="4">
        <v>42812.0</v>
      </c>
      <c r="C20" s="3" t="s">
        <v>150</v>
      </c>
      <c r="D20" s="3" t="s">
        <v>151</v>
      </c>
      <c r="E20" s="3" t="s">
        <v>26</v>
      </c>
      <c r="F20" s="3" t="s">
        <v>152</v>
      </c>
      <c r="G20" s="3" t="s">
        <v>111</v>
      </c>
      <c r="H20" s="3" t="s">
        <v>153</v>
      </c>
      <c r="I20" s="3">
        <v>3.0</v>
      </c>
      <c r="J20" s="3" t="s">
        <v>154</v>
      </c>
      <c r="K20" s="3" t="s">
        <v>155</v>
      </c>
      <c r="L20" s="3" t="s">
        <v>26</v>
      </c>
      <c r="M20" s="3" t="s">
        <v>156</v>
      </c>
      <c r="N20" s="3">
        <v>1000.0</v>
      </c>
      <c r="O20" s="3">
        <v>1400.0</v>
      </c>
      <c r="P20" s="3" t="s">
        <v>157</v>
      </c>
      <c r="Q20" s="3">
        <v>4000.0</v>
      </c>
      <c r="R20" s="3" t="s">
        <v>157</v>
      </c>
      <c r="S20" s="3">
        <v>5000.0</v>
      </c>
      <c r="T20" s="3">
        <v>1500.0</v>
      </c>
      <c r="U20" s="3">
        <v>3.5</v>
      </c>
      <c r="V20" s="3" t="s">
        <v>158</v>
      </c>
      <c r="W20" s="3" t="s">
        <v>148</v>
      </c>
      <c r="X20" s="6" t="s">
        <v>159</v>
      </c>
    </row>
    <row r="21">
      <c r="A21" s="3">
        <v>20.0</v>
      </c>
      <c r="B21" s="4">
        <v>42813.0</v>
      </c>
      <c r="C21" s="3" t="s">
        <v>150</v>
      </c>
      <c r="D21" s="3" t="s">
        <v>151</v>
      </c>
      <c r="E21" s="3" t="s">
        <v>26</v>
      </c>
      <c r="F21" s="3" t="s">
        <v>44</v>
      </c>
      <c r="G21" s="3" t="s">
        <v>160</v>
      </c>
      <c r="H21" s="3" t="s">
        <v>161</v>
      </c>
      <c r="I21" s="3">
        <v>3.0</v>
      </c>
      <c r="J21" s="3" t="s">
        <v>162</v>
      </c>
      <c r="K21" s="3" t="s">
        <v>163</v>
      </c>
      <c r="L21" s="3" t="s">
        <v>26</v>
      </c>
      <c r="M21" s="3" t="s">
        <v>164</v>
      </c>
      <c r="N21" s="3">
        <v>950.0</v>
      </c>
      <c r="O21" s="3">
        <v>1450.0</v>
      </c>
      <c r="P21" s="3" t="s">
        <v>165</v>
      </c>
      <c r="Q21" s="3">
        <v>4000.0</v>
      </c>
      <c r="R21" s="3" t="s">
        <v>165</v>
      </c>
      <c r="S21" s="3">
        <v>5700.0</v>
      </c>
      <c r="T21" s="3">
        <v>2095.0</v>
      </c>
      <c r="U21" s="3">
        <v>4.87</v>
      </c>
      <c r="V21" s="3" t="s">
        <v>166</v>
      </c>
      <c r="W21" s="3" t="s">
        <v>148</v>
      </c>
      <c r="X21" s="6" t="s">
        <v>167</v>
      </c>
    </row>
    <row r="22">
      <c r="A22" s="3">
        <v>21.0</v>
      </c>
      <c r="B22" s="4">
        <v>42820.0</v>
      </c>
      <c r="C22" s="3" t="s">
        <v>52</v>
      </c>
      <c r="D22" s="3" t="s">
        <v>53</v>
      </c>
      <c r="E22" s="3" t="s">
        <v>26</v>
      </c>
      <c r="F22" s="3" t="s">
        <v>44</v>
      </c>
      <c r="G22" s="3" t="s">
        <v>168</v>
      </c>
      <c r="H22" s="3" t="s">
        <v>68</v>
      </c>
      <c r="I22" s="3">
        <v>3.0</v>
      </c>
      <c r="J22" s="3" t="s">
        <v>169</v>
      </c>
      <c r="K22" s="3" t="s">
        <v>170</v>
      </c>
      <c r="L22" s="3" t="s">
        <v>32</v>
      </c>
      <c r="M22" s="3" t="s">
        <v>171</v>
      </c>
      <c r="N22" s="3">
        <v>950.0</v>
      </c>
      <c r="O22" s="3">
        <v>1550.0</v>
      </c>
      <c r="P22" s="3" t="s">
        <v>49</v>
      </c>
      <c r="Q22" s="3">
        <v>4300.0</v>
      </c>
      <c r="R22" s="3" t="s">
        <v>49</v>
      </c>
      <c r="S22" s="3">
        <v>6500.0</v>
      </c>
      <c r="T22" s="12">
        <v>3800.0</v>
      </c>
      <c r="U22" s="3">
        <v>7.6</v>
      </c>
      <c r="V22" s="3" t="s">
        <v>172</v>
      </c>
      <c r="W22" s="3" t="s">
        <v>148</v>
      </c>
      <c r="X22" s="6" t="s">
        <v>173</v>
      </c>
    </row>
    <row r="23">
      <c r="A23" s="3">
        <v>22.0</v>
      </c>
      <c r="B23" s="4">
        <v>42828.0</v>
      </c>
      <c r="C23" s="3" t="s">
        <v>73</v>
      </c>
      <c r="D23" s="3" t="s">
        <v>74</v>
      </c>
      <c r="E23" s="3" t="s">
        <v>26</v>
      </c>
      <c r="F23" s="3" t="s">
        <v>27</v>
      </c>
      <c r="G23" s="3" t="s">
        <v>79</v>
      </c>
      <c r="H23" s="3" t="s">
        <v>112</v>
      </c>
      <c r="I23" s="3">
        <v>2.0</v>
      </c>
      <c r="J23" s="3" t="s">
        <v>174</v>
      </c>
      <c r="K23" s="3" t="s">
        <v>31</v>
      </c>
      <c r="L23" s="3" t="s">
        <v>32</v>
      </c>
      <c r="M23" s="3" t="s">
        <v>175</v>
      </c>
      <c r="N23" s="3">
        <v>1050.0</v>
      </c>
      <c r="O23" s="3">
        <v>1650.0</v>
      </c>
      <c r="P23" s="3" t="s">
        <v>64</v>
      </c>
      <c r="Q23" s="3">
        <f>S23-T23</f>
        <v>5400</v>
      </c>
      <c r="R23" s="3" t="s">
        <v>64</v>
      </c>
      <c r="S23" s="8">
        <v>10080.0</v>
      </c>
      <c r="T23" s="3">
        <v>4680.0</v>
      </c>
      <c r="U23" s="3">
        <v>9.0</v>
      </c>
      <c r="V23" s="3" t="s">
        <v>78</v>
      </c>
      <c r="W23" s="3" t="s">
        <v>36</v>
      </c>
      <c r="X23" s="6" t="s">
        <v>176</v>
      </c>
    </row>
    <row r="24">
      <c r="A24" s="3">
        <v>23.0</v>
      </c>
      <c r="B24" s="4">
        <v>42834.0</v>
      </c>
      <c r="C24" s="3" t="s">
        <v>73</v>
      </c>
      <c r="D24" s="3" t="s">
        <v>177</v>
      </c>
      <c r="E24" s="3" t="s">
        <v>26</v>
      </c>
      <c r="F24" s="3" t="s">
        <v>44</v>
      </c>
      <c r="G24" s="3" t="s">
        <v>178</v>
      </c>
      <c r="H24" s="3" t="s">
        <v>179</v>
      </c>
      <c r="I24" s="3">
        <v>3.0</v>
      </c>
      <c r="J24" s="3" t="s">
        <v>180</v>
      </c>
      <c r="K24" s="3" t="s">
        <v>181</v>
      </c>
      <c r="L24" s="3" t="s">
        <v>26</v>
      </c>
      <c r="M24" s="3" t="s">
        <v>182</v>
      </c>
      <c r="N24" s="3">
        <v>1000.0</v>
      </c>
      <c r="O24" s="3">
        <v>1550.0</v>
      </c>
      <c r="P24" s="3" t="s">
        <v>122</v>
      </c>
      <c r="Q24" s="3">
        <v>4500.0</v>
      </c>
      <c r="R24" s="3" t="s">
        <v>122</v>
      </c>
      <c r="S24" s="3">
        <v>6400.0</v>
      </c>
      <c r="T24" s="3">
        <v>2800.0</v>
      </c>
      <c r="U24" s="3">
        <v>6.6</v>
      </c>
      <c r="V24" s="3" t="s">
        <v>183</v>
      </c>
      <c r="W24" s="3" t="s">
        <v>148</v>
      </c>
      <c r="X24" s="13" t="s">
        <v>184</v>
      </c>
    </row>
    <row r="25">
      <c r="A25" s="3">
        <v>24.0</v>
      </c>
      <c r="B25" s="4">
        <v>42840.0</v>
      </c>
      <c r="C25" s="3" t="s">
        <v>185</v>
      </c>
      <c r="D25" s="3" t="s">
        <v>186</v>
      </c>
      <c r="E25" s="3" t="s">
        <v>26</v>
      </c>
      <c r="F25" s="3" t="s">
        <v>27</v>
      </c>
      <c r="G25" s="3" t="s">
        <v>60</v>
      </c>
      <c r="H25" s="3" t="s">
        <v>112</v>
      </c>
      <c r="I25" s="3">
        <v>2.0</v>
      </c>
      <c r="J25" s="3" t="s">
        <v>187</v>
      </c>
      <c r="K25" s="3" t="s">
        <v>188</v>
      </c>
      <c r="L25" s="3" t="s">
        <v>32</v>
      </c>
      <c r="M25" s="3" t="s">
        <v>189</v>
      </c>
      <c r="N25" s="3">
        <v>1000.0</v>
      </c>
      <c r="O25" s="3">
        <v>1850.0</v>
      </c>
      <c r="P25" s="3" t="s">
        <v>190</v>
      </c>
      <c r="Q25" s="3">
        <v>7380.0</v>
      </c>
      <c r="R25" s="3" t="s">
        <v>190</v>
      </c>
      <c r="S25" s="3">
        <v>7710.0</v>
      </c>
      <c r="T25" s="3">
        <v>3000.0</v>
      </c>
      <c r="U25" s="3">
        <v>7.0</v>
      </c>
      <c r="V25" s="3" t="s">
        <v>191</v>
      </c>
      <c r="W25" s="3" t="s">
        <v>36</v>
      </c>
      <c r="X25" s="6" t="s">
        <v>192</v>
      </c>
    </row>
    <row r="26">
      <c r="A26" s="3">
        <v>25.0</v>
      </c>
      <c r="B26" s="4">
        <v>42841.0</v>
      </c>
      <c r="C26" s="3" t="s">
        <v>193</v>
      </c>
      <c r="D26" s="3" t="s">
        <v>194</v>
      </c>
      <c r="E26" s="3" t="s">
        <v>32</v>
      </c>
      <c r="F26" s="3" t="s">
        <v>44</v>
      </c>
      <c r="G26" s="3" t="s">
        <v>102</v>
      </c>
      <c r="H26" s="3" t="s">
        <v>112</v>
      </c>
      <c r="I26" s="3">
        <v>2.0</v>
      </c>
      <c r="J26" s="3" t="s">
        <v>195</v>
      </c>
      <c r="K26" s="3" t="s">
        <v>31</v>
      </c>
      <c r="L26" s="3" t="s">
        <v>32</v>
      </c>
      <c r="M26" s="3" t="s">
        <v>196</v>
      </c>
      <c r="N26" s="3">
        <v>1100.0</v>
      </c>
      <c r="O26" s="3">
        <v>1650.0</v>
      </c>
      <c r="P26" s="3" t="s">
        <v>122</v>
      </c>
      <c r="Q26" s="3">
        <v>4100.0</v>
      </c>
      <c r="R26" s="3" t="s">
        <v>122</v>
      </c>
      <c r="S26" s="3">
        <v>6700.0</v>
      </c>
      <c r="T26" s="3">
        <v>2600.0</v>
      </c>
      <c r="U26" s="3">
        <v>5.0</v>
      </c>
      <c r="V26" s="3" t="s">
        <v>197</v>
      </c>
      <c r="W26" s="3" t="s">
        <v>36</v>
      </c>
      <c r="X26" s="6" t="s">
        <v>198</v>
      </c>
    </row>
    <row r="27">
      <c r="A27" s="3">
        <v>26.0</v>
      </c>
      <c r="B27" s="4">
        <v>42847.0</v>
      </c>
      <c r="C27" s="3" t="s">
        <v>199</v>
      </c>
      <c r="D27" s="3" t="s">
        <v>200</v>
      </c>
      <c r="E27" s="3" t="s">
        <v>32</v>
      </c>
      <c r="F27" s="3" t="s">
        <v>27</v>
      </c>
      <c r="G27" s="3" t="s">
        <v>60</v>
      </c>
      <c r="H27" s="3" t="s">
        <v>68</v>
      </c>
      <c r="I27" s="3">
        <v>3.0</v>
      </c>
      <c r="J27" s="3" t="s">
        <v>201</v>
      </c>
      <c r="K27" s="3" t="s">
        <v>105</v>
      </c>
      <c r="L27" s="3" t="s">
        <v>26</v>
      </c>
      <c r="M27" s="3" t="s">
        <v>202</v>
      </c>
      <c r="N27" s="3">
        <v>600.0</v>
      </c>
      <c r="O27" s="3">
        <v>1900.0</v>
      </c>
      <c r="P27" s="3" t="s">
        <v>203</v>
      </c>
      <c r="Q27" s="3">
        <v>2100.0</v>
      </c>
      <c r="R27" s="3" t="s">
        <v>203</v>
      </c>
      <c r="S27" s="3">
        <v>7200.0</v>
      </c>
      <c r="T27">
        <f>S27-Q27</f>
        <v>5100</v>
      </c>
      <c r="U27" s="3">
        <v>17.8</v>
      </c>
      <c r="V27" s="3" t="s">
        <v>204</v>
      </c>
      <c r="W27" s="3" t="s">
        <v>148</v>
      </c>
      <c r="X27" s="6" t="s">
        <v>205</v>
      </c>
    </row>
    <row r="28">
      <c r="A28" s="3">
        <v>27.0</v>
      </c>
      <c r="B28" s="4">
        <v>42868.0</v>
      </c>
      <c r="C28" s="3" t="s">
        <v>24</v>
      </c>
      <c r="D28" s="3" t="s">
        <v>25</v>
      </c>
      <c r="E28" s="3" t="s">
        <v>26</v>
      </c>
      <c r="F28" s="3" t="s">
        <v>206</v>
      </c>
      <c r="G28" s="3" t="s">
        <v>168</v>
      </c>
      <c r="H28" s="3" t="s">
        <v>103</v>
      </c>
      <c r="I28" s="3">
        <v>2.0</v>
      </c>
      <c r="J28" s="3" t="s">
        <v>207</v>
      </c>
      <c r="K28" s="3" t="s">
        <v>31</v>
      </c>
      <c r="L28" s="3" t="s">
        <v>32</v>
      </c>
      <c r="M28" s="3" t="s">
        <v>208</v>
      </c>
      <c r="N28" s="3">
        <v>900.0</v>
      </c>
      <c r="O28" s="3">
        <v>1550.0</v>
      </c>
      <c r="P28" s="3" t="s">
        <v>49</v>
      </c>
      <c r="Q28" s="3">
        <v>3280.0</v>
      </c>
      <c r="R28" s="3" t="s">
        <v>49</v>
      </c>
      <c r="S28" s="3">
        <v>5500.0</v>
      </c>
      <c r="T28" s="3">
        <v>4000.0</v>
      </c>
      <c r="U28" s="3">
        <v>8.0</v>
      </c>
      <c r="V28" s="3" t="s">
        <v>209</v>
      </c>
      <c r="W28" s="3" t="s">
        <v>36</v>
      </c>
      <c r="X28" s="6" t="s">
        <v>210</v>
      </c>
    </row>
    <row r="29">
      <c r="A29" s="3">
        <v>28.0</v>
      </c>
      <c r="B29" s="4">
        <v>42875.0</v>
      </c>
      <c r="C29" s="3" t="s">
        <v>150</v>
      </c>
      <c r="D29" s="3" t="s">
        <v>211</v>
      </c>
      <c r="E29" s="3" t="s">
        <v>26</v>
      </c>
      <c r="F29" s="3" t="s">
        <v>206</v>
      </c>
      <c r="G29" s="3" t="s">
        <v>160</v>
      </c>
      <c r="H29" s="3" t="s">
        <v>68</v>
      </c>
      <c r="I29" s="3">
        <v>3.0</v>
      </c>
      <c r="J29" s="3" t="s">
        <v>212</v>
      </c>
      <c r="K29" s="3" t="s">
        <v>31</v>
      </c>
      <c r="L29" s="3" t="s">
        <v>32</v>
      </c>
      <c r="M29" s="3" t="s">
        <v>213</v>
      </c>
      <c r="N29" s="3">
        <v>550.0</v>
      </c>
      <c r="O29" s="3">
        <v>1850.0</v>
      </c>
      <c r="P29" s="3" t="s">
        <v>203</v>
      </c>
      <c r="Q29" s="3">
        <v>3000.0</v>
      </c>
      <c r="R29" s="3" t="s">
        <v>203</v>
      </c>
      <c r="S29" s="3">
        <v>10700.0</v>
      </c>
      <c r="T29" s="3">
        <v>7700.0</v>
      </c>
      <c r="U29" s="3">
        <v>14.54</v>
      </c>
      <c r="V29" s="3" t="s">
        <v>214</v>
      </c>
      <c r="W29" s="3" t="s">
        <v>148</v>
      </c>
      <c r="X29" s="6" t="s">
        <v>215</v>
      </c>
    </row>
    <row r="30">
      <c r="A30" s="3">
        <v>29.0</v>
      </c>
      <c r="B30" s="4">
        <v>42883.0</v>
      </c>
      <c r="C30" s="3" t="s">
        <v>92</v>
      </c>
      <c r="D30" s="3" t="s">
        <v>216</v>
      </c>
      <c r="E30" s="3" t="s">
        <v>26</v>
      </c>
      <c r="F30" s="3" t="s">
        <v>206</v>
      </c>
      <c r="G30" s="3" t="s">
        <v>79</v>
      </c>
      <c r="H30" s="3" t="s">
        <v>217</v>
      </c>
      <c r="I30" s="3">
        <v>2.0</v>
      </c>
      <c r="J30" s="3" t="s">
        <v>218</v>
      </c>
      <c r="K30" s="3" t="s">
        <v>31</v>
      </c>
      <c r="L30" s="3" t="s">
        <v>32</v>
      </c>
      <c r="M30" s="3" t="s">
        <v>219</v>
      </c>
      <c r="N30" s="3">
        <v>450.0</v>
      </c>
      <c r="O30" s="3">
        <v>1200.0</v>
      </c>
      <c r="P30" s="3" t="s">
        <v>98</v>
      </c>
      <c r="Q30" s="3">
        <v>5900.0</v>
      </c>
      <c r="R30" s="3" t="s">
        <v>98</v>
      </c>
      <c r="S30" s="3">
        <v>11250.0</v>
      </c>
      <c r="T30" s="3">
        <v>5280.0</v>
      </c>
      <c r="U30" s="3">
        <v>7.4</v>
      </c>
      <c r="V30" s="3" t="s">
        <v>220</v>
      </c>
      <c r="W30" s="3" t="s">
        <v>148</v>
      </c>
      <c r="X30" s="6" t="s">
        <v>221</v>
      </c>
    </row>
    <row r="31">
      <c r="A31" s="3">
        <v>30.0</v>
      </c>
      <c r="B31" s="4">
        <v>42897.0</v>
      </c>
      <c r="C31" s="3" t="s">
        <v>24</v>
      </c>
      <c r="D31" s="3" t="s">
        <v>222</v>
      </c>
      <c r="E31" s="3" t="s">
        <v>26</v>
      </c>
      <c r="F31" s="3" t="s">
        <v>206</v>
      </c>
      <c r="G31" s="3" t="s">
        <v>118</v>
      </c>
      <c r="H31" s="3" t="s">
        <v>217</v>
      </c>
      <c r="I31" s="3">
        <v>2.0</v>
      </c>
      <c r="J31" s="3" t="s">
        <v>223</v>
      </c>
      <c r="K31" s="3" t="s">
        <v>31</v>
      </c>
      <c r="L31" s="3" t="s">
        <v>32</v>
      </c>
      <c r="M31" s="3" t="s">
        <v>224</v>
      </c>
      <c r="N31" s="3">
        <v>900.0</v>
      </c>
      <c r="O31" s="3">
        <v>1300.0</v>
      </c>
      <c r="P31" s="3" t="s">
        <v>157</v>
      </c>
      <c r="Q31">
        <f>S31-T31</f>
        <v>3660</v>
      </c>
      <c r="R31" s="3" t="s">
        <v>157</v>
      </c>
      <c r="S31" s="3">
        <v>5300.0</v>
      </c>
      <c r="T31" s="3">
        <v>1640.0</v>
      </c>
      <c r="U31" s="3">
        <v>4.6</v>
      </c>
      <c r="V31" s="3" t="s">
        <v>225</v>
      </c>
      <c r="W31" s="3" t="s">
        <v>148</v>
      </c>
      <c r="X31" s="6" t="s">
        <v>226</v>
      </c>
    </row>
    <row r="32">
      <c r="A32" s="3">
        <v>31.0</v>
      </c>
      <c r="B32" s="4">
        <v>42903.0</v>
      </c>
      <c r="C32" s="3" t="s">
        <v>73</v>
      </c>
      <c r="D32" s="3" t="s">
        <v>227</v>
      </c>
      <c r="E32" s="3" t="s">
        <v>26</v>
      </c>
      <c r="F32" s="3" t="s">
        <v>206</v>
      </c>
      <c r="G32" s="3" t="s">
        <v>60</v>
      </c>
      <c r="H32" s="3" t="s">
        <v>228</v>
      </c>
      <c r="I32" s="3">
        <v>4.0</v>
      </c>
      <c r="J32" s="3" t="s">
        <v>229</v>
      </c>
      <c r="K32" s="3" t="s">
        <v>230</v>
      </c>
      <c r="L32" s="3" t="s">
        <v>26</v>
      </c>
      <c r="M32" s="3" t="s">
        <v>231</v>
      </c>
      <c r="N32" s="3">
        <v>900.0</v>
      </c>
      <c r="O32" s="3">
        <v>1850.0</v>
      </c>
      <c r="P32" s="3" t="s">
        <v>232</v>
      </c>
      <c r="Q32" s="3">
        <v>4300.0</v>
      </c>
      <c r="R32" s="3" t="s">
        <v>232</v>
      </c>
      <c r="S32" s="3">
        <v>9700.0</v>
      </c>
      <c r="T32" s="3">
        <v>5340.0</v>
      </c>
      <c r="U32" s="3">
        <v>12.1</v>
      </c>
      <c r="V32" s="3" t="s">
        <v>233</v>
      </c>
      <c r="W32" s="3" t="s">
        <v>148</v>
      </c>
      <c r="X32" s="6" t="s">
        <v>234</v>
      </c>
    </row>
    <row r="33">
      <c r="A33" s="3">
        <v>32.0</v>
      </c>
      <c r="B33" s="4">
        <v>42906.0</v>
      </c>
      <c r="C33" s="3" t="s">
        <v>235</v>
      </c>
      <c r="D33" s="3" t="s">
        <v>236</v>
      </c>
      <c r="E33" s="3" t="s">
        <v>26</v>
      </c>
      <c r="F33" s="3" t="s">
        <v>206</v>
      </c>
      <c r="G33" s="3" t="s">
        <v>237</v>
      </c>
      <c r="H33" s="3" t="s">
        <v>68</v>
      </c>
      <c r="I33" s="3">
        <v>3.0</v>
      </c>
      <c r="J33" s="3" t="s">
        <v>238</v>
      </c>
      <c r="K33" s="3" t="s">
        <v>230</v>
      </c>
      <c r="L33" s="3" t="s">
        <v>26</v>
      </c>
      <c r="M33" s="3" t="s">
        <v>239</v>
      </c>
      <c r="N33" s="3">
        <v>600.0</v>
      </c>
      <c r="O33" s="3">
        <v>1750.0</v>
      </c>
      <c r="P33" s="3" t="s">
        <v>240</v>
      </c>
      <c r="Q33" s="3">
        <v>5500.0</v>
      </c>
      <c r="R33" s="3" t="s">
        <v>240</v>
      </c>
      <c r="S33" s="3">
        <v>12300.0</v>
      </c>
      <c r="T33" s="3">
        <v>6800.0</v>
      </c>
      <c r="U33" s="3">
        <v>12.22</v>
      </c>
      <c r="V33" s="3" t="s">
        <v>241</v>
      </c>
      <c r="W33" s="3" t="s">
        <v>148</v>
      </c>
      <c r="X33" s="6" t="s">
        <v>242</v>
      </c>
    </row>
    <row r="34">
      <c r="A34" s="3">
        <v>33.0</v>
      </c>
      <c r="B34" s="4">
        <v>42911.0</v>
      </c>
      <c r="C34" s="3" t="s">
        <v>243</v>
      </c>
      <c r="D34" s="3" t="s">
        <v>244</v>
      </c>
      <c r="E34" s="3" t="s">
        <v>32</v>
      </c>
      <c r="F34" s="3" t="s">
        <v>206</v>
      </c>
      <c r="G34" s="3" t="s">
        <v>79</v>
      </c>
      <c r="H34" s="3" t="s">
        <v>245</v>
      </c>
      <c r="I34" s="3">
        <v>1.0</v>
      </c>
      <c r="J34" s="3" t="s">
        <v>246</v>
      </c>
      <c r="K34" s="3" t="s">
        <v>245</v>
      </c>
      <c r="L34" s="3" t="s">
        <v>32</v>
      </c>
      <c r="M34" s="3" t="s">
        <v>247</v>
      </c>
      <c r="N34" s="3">
        <v>850.0</v>
      </c>
      <c r="O34" s="3">
        <v>1200.0</v>
      </c>
      <c r="P34" s="3" t="s">
        <v>248</v>
      </c>
      <c r="Q34" s="3">
        <v>6400.0</v>
      </c>
      <c r="R34" s="3" t="s">
        <v>248</v>
      </c>
      <c r="S34" s="3">
        <v>8200.0</v>
      </c>
      <c r="T34" s="3">
        <v>1800.0</v>
      </c>
      <c r="U34" s="3">
        <v>12.0</v>
      </c>
      <c r="V34" s="3" t="s">
        <v>249</v>
      </c>
      <c r="W34" s="3" t="s">
        <v>148</v>
      </c>
      <c r="X34" s="6" t="s">
        <v>250</v>
      </c>
    </row>
    <row r="35">
      <c r="A35" s="3">
        <v>34.0</v>
      </c>
      <c r="B35" s="4">
        <v>42925.0</v>
      </c>
      <c r="C35" s="3" t="s">
        <v>243</v>
      </c>
      <c r="D35" s="3" t="s">
        <v>244</v>
      </c>
      <c r="E35" s="3" t="s">
        <v>26</v>
      </c>
      <c r="F35" s="3" t="s">
        <v>206</v>
      </c>
      <c r="G35" s="3" t="s">
        <v>79</v>
      </c>
      <c r="H35" s="3" t="s">
        <v>251</v>
      </c>
      <c r="I35" s="3">
        <v>2.0</v>
      </c>
      <c r="J35" s="3" t="s">
        <v>252</v>
      </c>
      <c r="K35" s="3" t="s">
        <v>245</v>
      </c>
      <c r="L35" s="3" t="s">
        <v>32</v>
      </c>
      <c r="M35" s="3" t="s">
        <v>253</v>
      </c>
      <c r="N35" s="3">
        <v>675.0</v>
      </c>
      <c r="O35" s="3">
        <v>1300.0</v>
      </c>
      <c r="P35" s="3" t="s">
        <v>254</v>
      </c>
      <c r="Q35" s="3">
        <v>6400.0</v>
      </c>
      <c r="R35" s="3" t="s">
        <v>254</v>
      </c>
      <c r="S35" s="3">
        <v>10400.0</v>
      </c>
      <c r="T35" s="3">
        <v>4000.0</v>
      </c>
      <c r="U35" s="3">
        <v>6.6</v>
      </c>
      <c r="V35" s="3" t="s">
        <v>243</v>
      </c>
      <c r="W35" s="3" t="s">
        <v>148</v>
      </c>
      <c r="X35" s="6" t="s">
        <v>255</v>
      </c>
    </row>
    <row r="36">
      <c r="A36" s="3">
        <v>35.0</v>
      </c>
      <c r="B36" s="4">
        <v>43057.0</v>
      </c>
      <c r="C36" s="3" t="s">
        <v>256</v>
      </c>
      <c r="D36" s="3" t="s">
        <v>257</v>
      </c>
      <c r="E36" s="3" t="s">
        <v>26</v>
      </c>
      <c r="F36" s="3" t="s">
        <v>206</v>
      </c>
      <c r="G36" s="3" t="s">
        <v>79</v>
      </c>
      <c r="H36" s="3" t="s">
        <v>258</v>
      </c>
      <c r="I36" s="3">
        <v>4.0</v>
      </c>
      <c r="J36" s="3" t="s">
        <v>259</v>
      </c>
      <c r="K36" s="3" t="s">
        <v>245</v>
      </c>
      <c r="L36" s="3" t="s">
        <v>32</v>
      </c>
      <c r="M36" s="3" t="s">
        <v>260</v>
      </c>
      <c r="N36" s="3">
        <v>800.0</v>
      </c>
      <c r="O36" s="3">
        <v>1450.0</v>
      </c>
      <c r="P36" s="3" t="s">
        <v>49</v>
      </c>
      <c r="Q36" s="3">
        <v>8500.0</v>
      </c>
      <c r="R36" s="3" t="s">
        <v>49</v>
      </c>
      <c r="S36" s="3">
        <v>10000.0</v>
      </c>
      <c r="T36" s="3">
        <v>1500.0</v>
      </c>
      <c r="U36" s="3">
        <v>6.5</v>
      </c>
      <c r="V36" s="3" t="s">
        <v>261</v>
      </c>
      <c r="W36" s="3" t="s">
        <v>148</v>
      </c>
      <c r="X36" s="6" t="s">
        <v>262</v>
      </c>
    </row>
    <row r="37">
      <c r="A37" s="3">
        <v>36.0</v>
      </c>
      <c r="B37" s="4">
        <v>43071.0</v>
      </c>
      <c r="C37" s="3" t="s">
        <v>263</v>
      </c>
      <c r="D37" s="3" t="s">
        <v>264</v>
      </c>
      <c r="E37" s="3" t="s">
        <v>26</v>
      </c>
      <c r="F37" s="3" t="s">
        <v>265</v>
      </c>
      <c r="G37" s="3" t="s">
        <v>79</v>
      </c>
      <c r="H37" s="3" t="s">
        <v>266</v>
      </c>
      <c r="I37" s="3">
        <v>3.0</v>
      </c>
      <c r="J37" s="3" t="s">
        <v>267</v>
      </c>
      <c r="K37" s="3" t="s">
        <v>245</v>
      </c>
      <c r="L37" s="3" t="s">
        <v>32</v>
      </c>
      <c r="M37" s="3" t="s">
        <v>245</v>
      </c>
      <c r="N37" s="3">
        <v>900.0</v>
      </c>
      <c r="O37" s="3">
        <v>1400.0</v>
      </c>
      <c r="P37" s="3" t="s">
        <v>165</v>
      </c>
      <c r="Q37" s="3">
        <v>8700.0</v>
      </c>
      <c r="R37" s="3" t="s">
        <v>165</v>
      </c>
      <c r="S37" s="3">
        <v>9900.0</v>
      </c>
      <c r="T37" s="3">
        <v>2200.0</v>
      </c>
      <c r="U37" s="3">
        <v>4.8</v>
      </c>
      <c r="V37" s="3" t="s">
        <v>264</v>
      </c>
      <c r="W37" s="3" t="s">
        <v>148</v>
      </c>
      <c r="X37" s="6" t="s">
        <v>268</v>
      </c>
    </row>
    <row r="38">
      <c r="A38" s="3">
        <v>37.0</v>
      </c>
      <c r="B38" s="4">
        <v>43078.0</v>
      </c>
      <c r="C38" s="3" t="s">
        <v>269</v>
      </c>
      <c r="D38" s="3" t="s">
        <v>270</v>
      </c>
      <c r="E38" s="3" t="s">
        <v>26</v>
      </c>
      <c r="F38" s="3" t="s">
        <v>27</v>
      </c>
      <c r="G38" s="3" t="s">
        <v>79</v>
      </c>
      <c r="H38" s="3" t="s">
        <v>271</v>
      </c>
      <c r="I38" s="3">
        <v>5.0</v>
      </c>
      <c r="J38" s="3" t="s">
        <v>272</v>
      </c>
      <c r="K38" s="3" t="s">
        <v>245</v>
      </c>
      <c r="L38" s="3" t="s">
        <v>32</v>
      </c>
      <c r="M38" s="3" t="s">
        <v>273</v>
      </c>
      <c r="N38" s="3">
        <v>1000.0</v>
      </c>
      <c r="O38" s="3">
        <v>1475.0</v>
      </c>
      <c r="P38" s="3" t="s">
        <v>274</v>
      </c>
      <c r="Q38" s="3">
        <v>7000.0</v>
      </c>
      <c r="R38" s="3" t="s">
        <v>274</v>
      </c>
      <c r="S38" s="3">
        <v>9100.0</v>
      </c>
      <c r="T38" s="3">
        <v>2100.0</v>
      </c>
      <c r="U38" s="3">
        <v>4.4</v>
      </c>
      <c r="V38" s="3" t="s">
        <v>270</v>
      </c>
      <c r="W38" s="3" t="s">
        <v>148</v>
      </c>
      <c r="X38" s="6" t="s">
        <v>275</v>
      </c>
    </row>
    <row r="39">
      <c r="B39" s="14"/>
    </row>
    <row r="40">
      <c r="B40" s="14"/>
    </row>
    <row r="41">
      <c r="B41" s="14"/>
    </row>
    <row r="42">
      <c r="B42" s="14"/>
    </row>
    <row r="43">
      <c r="B43" s="14"/>
    </row>
    <row r="44">
      <c r="B44" s="14"/>
    </row>
    <row r="45">
      <c r="B45" s="14"/>
    </row>
    <row r="46">
      <c r="B46" s="14"/>
    </row>
    <row r="47">
      <c r="B47" s="14"/>
    </row>
    <row r="48">
      <c r="B48" s="14"/>
    </row>
    <row r="49">
      <c r="B49" s="14"/>
    </row>
    <row r="50">
      <c r="B50" s="14"/>
    </row>
    <row r="51">
      <c r="B51" s="14"/>
    </row>
    <row r="52">
      <c r="B52" s="14"/>
    </row>
    <row r="53">
      <c r="B53" s="14"/>
    </row>
    <row r="54">
      <c r="B54" s="14"/>
    </row>
    <row r="55">
      <c r="B55" s="14"/>
    </row>
    <row r="56">
      <c r="B56" s="14"/>
    </row>
    <row r="57">
      <c r="B57" s="14"/>
    </row>
    <row r="58">
      <c r="B58" s="14"/>
    </row>
    <row r="59">
      <c r="B59" s="14"/>
    </row>
    <row r="60">
      <c r="B60" s="14"/>
    </row>
    <row r="61">
      <c r="B61" s="14"/>
    </row>
    <row r="62">
      <c r="B62" s="14"/>
    </row>
    <row r="63">
      <c r="B63" s="14"/>
    </row>
    <row r="64">
      <c r="B64" s="14"/>
    </row>
    <row r="65">
      <c r="B65" s="14"/>
    </row>
    <row r="66">
      <c r="B66" s="14"/>
    </row>
    <row r="67">
      <c r="B67" s="14"/>
    </row>
    <row r="68">
      <c r="B68" s="14"/>
    </row>
    <row r="69">
      <c r="B69" s="14"/>
    </row>
    <row r="70">
      <c r="B70" s="14"/>
    </row>
    <row r="71">
      <c r="B71" s="14"/>
    </row>
    <row r="72">
      <c r="B72" s="14"/>
    </row>
    <row r="73">
      <c r="B73" s="14"/>
    </row>
    <row r="74">
      <c r="B74" s="14"/>
    </row>
    <row r="75">
      <c r="B75" s="14"/>
    </row>
    <row r="76">
      <c r="B76" s="14"/>
    </row>
    <row r="77">
      <c r="B77" s="14"/>
    </row>
    <row r="78">
      <c r="B78" s="14"/>
    </row>
    <row r="79">
      <c r="B79" s="14"/>
    </row>
    <row r="80">
      <c r="B80" s="14"/>
    </row>
    <row r="81">
      <c r="B81" s="14"/>
    </row>
    <row r="82">
      <c r="B82" s="14"/>
    </row>
    <row r="83">
      <c r="B83" s="14"/>
    </row>
    <row r="84">
      <c r="B84" s="14"/>
    </row>
    <row r="85">
      <c r="B85" s="14"/>
    </row>
    <row r="86">
      <c r="B86" s="14"/>
    </row>
    <row r="87">
      <c r="B87" s="14"/>
    </row>
    <row r="88">
      <c r="B88" s="14"/>
    </row>
    <row r="89">
      <c r="B89" s="14"/>
    </row>
    <row r="90">
      <c r="B90" s="14"/>
    </row>
    <row r="91">
      <c r="B91" s="14"/>
    </row>
    <row r="92">
      <c r="B92" s="14"/>
    </row>
    <row r="93">
      <c r="B93" s="14"/>
    </row>
    <row r="94">
      <c r="B94" s="14"/>
    </row>
    <row r="95">
      <c r="B95" s="14"/>
    </row>
    <row r="96">
      <c r="B96" s="14"/>
    </row>
    <row r="97">
      <c r="B97" s="14"/>
    </row>
    <row r="98">
      <c r="B98" s="14"/>
    </row>
    <row r="99">
      <c r="B99" s="14"/>
    </row>
    <row r="100">
      <c r="B100" s="14"/>
    </row>
    <row r="101">
      <c r="B101" s="14"/>
    </row>
    <row r="102">
      <c r="B102" s="14"/>
    </row>
    <row r="103">
      <c r="B103" s="14"/>
    </row>
    <row r="104">
      <c r="B104" s="14"/>
    </row>
    <row r="105">
      <c r="B105" s="14"/>
    </row>
    <row r="106">
      <c r="B106" s="14"/>
    </row>
    <row r="107">
      <c r="B107" s="14"/>
    </row>
    <row r="108">
      <c r="B108" s="14"/>
    </row>
    <row r="109">
      <c r="B109" s="14"/>
    </row>
    <row r="110">
      <c r="B110" s="14"/>
    </row>
    <row r="111">
      <c r="B111" s="14"/>
    </row>
    <row r="112">
      <c r="B112" s="14"/>
    </row>
    <row r="113">
      <c r="B113" s="14"/>
    </row>
    <row r="114">
      <c r="B114" s="14"/>
    </row>
    <row r="115">
      <c r="B115" s="14"/>
    </row>
    <row r="116">
      <c r="B116" s="14"/>
    </row>
    <row r="117">
      <c r="B117" s="14"/>
    </row>
    <row r="118">
      <c r="B118" s="14"/>
    </row>
    <row r="119">
      <c r="B119" s="14"/>
    </row>
    <row r="120">
      <c r="B120" s="14"/>
    </row>
    <row r="121">
      <c r="B121" s="14"/>
    </row>
    <row r="122">
      <c r="B122" s="14"/>
    </row>
    <row r="123">
      <c r="B123" s="14"/>
    </row>
    <row r="124">
      <c r="B124" s="14"/>
    </row>
    <row r="125">
      <c r="B125" s="14"/>
    </row>
    <row r="126">
      <c r="B126" s="14"/>
    </row>
    <row r="127">
      <c r="B127" s="14"/>
    </row>
    <row r="128">
      <c r="B128" s="14"/>
    </row>
    <row r="129">
      <c r="B129" s="14"/>
    </row>
    <row r="130">
      <c r="B130" s="14"/>
    </row>
    <row r="131">
      <c r="B131" s="14"/>
    </row>
    <row r="132">
      <c r="B132" s="14"/>
    </row>
    <row r="133">
      <c r="B133" s="14"/>
    </row>
    <row r="134">
      <c r="B134" s="14"/>
    </row>
    <row r="135">
      <c r="B135" s="14"/>
    </row>
    <row r="136">
      <c r="B136" s="14"/>
    </row>
    <row r="137">
      <c r="B137" s="14"/>
    </row>
    <row r="138">
      <c r="B138" s="14"/>
    </row>
    <row r="139">
      <c r="B139" s="14"/>
    </row>
    <row r="140">
      <c r="B140" s="14"/>
    </row>
    <row r="141">
      <c r="B141" s="14"/>
    </row>
    <row r="142">
      <c r="B142" s="14"/>
    </row>
    <row r="143">
      <c r="B143" s="14"/>
    </row>
    <row r="144">
      <c r="B144" s="14"/>
    </row>
    <row r="145">
      <c r="B145" s="14"/>
    </row>
    <row r="146">
      <c r="B146" s="14"/>
    </row>
    <row r="147">
      <c r="B147" s="14"/>
    </row>
    <row r="148">
      <c r="B148" s="14"/>
    </row>
    <row r="149">
      <c r="B149" s="14"/>
    </row>
    <row r="150">
      <c r="B150" s="14"/>
    </row>
    <row r="151">
      <c r="B151" s="14"/>
    </row>
    <row r="152">
      <c r="B152" s="14"/>
    </row>
    <row r="153">
      <c r="B153" s="14"/>
    </row>
    <row r="154">
      <c r="B154" s="14"/>
    </row>
    <row r="155">
      <c r="B155" s="14"/>
    </row>
    <row r="156">
      <c r="B156" s="14"/>
    </row>
    <row r="157">
      <c r="B157" s="14"/>
    </row>
    <row r="158">
      <c r="B158" s="14"/>
    </row>
    <row r="159">
      <c r="B159" s="14"/>
    </row>
    <row r="160">
      <c r="B160" s="14"/>
    </row>
    <row r="161">
      <c r="B161" s="14"/>
    </row>
    <row r="162">
      <c r="B162" s="14"/>
    </row>
    <row r="163">
      <c r="B163" s="14"/>
    </row>
    <row r="164">
      <c r="B164" s="14"/>
    </row>
    <row r="165">
      <c r="B165" s="14"/>
    </row>
    <row r="166">
      <c r="B166" s="14"/>
    </row>
    <row r="167">
      <c r="B167" s="14"/>
    </row>
    <row r="168">
      <c r="B168" s="14"/>
    </row>
    <row r="169">
      <c r="B169" s="14"/>
    </row>
    <row r="170">
      <c r="B170" s="14"/>
    </row>
    <row r="171">
      <c r="B171" s="14"/>
    </row>
    <row r="172">
      <c r="B172" s="14"/>
    </row>
    <row r="173">
      <c r="B173" s="14"/>
    </row>
    <row r="174">
      <c r="B174" s="14"/>
    </row>
    <row r="175">
      <c r="B175" s="14"/>
    </row>
    <row r="176">
      <c r="B176" s="14"/>
    </row>
    <row r="177">
      <c r="B177" s="14"/>
    </row>
    <row r="178">
      <c r="B178" s="14"/>
    </row>
    <row r="179">
      <c r="B179" s="14"/>
    </row>
    <row r="180">
      <c r="B180" s="14"/>
    </row>
    <row r="181">
      <c r="B181" s="14"/>
    </row>
    <row r="182">
      <c r="B182" s="14"/>
    </row>
    <row r="183">
      <c r="B183" s="14"/>
    </row>
    <row r="184">
      <c r="B184" s="14"/>
    </row>
    <row r="185">
      <c r="B185" s="14"/>
    </row>
    <row r="186">
      <c r="B186" s="14"/>
    </row>
    <row r="187">
      <c r="B187" s="14"/>
    </row>
    <row r="188">
      <c r="B188" s="14"/>
    </row>
    <row r="189">
      <c r="B189" s="14"/>
    </row>
    <row r="190">
      <c r="B190" s="14"/>
    </row>
    <row r="191">
      <c r="B191" s="14"/>
    </row>
    <row r="192">
      <c r="B192" s="14"/>
    </row>
    <row r="193">
      <c r="B193" s="14"/>
    </row>
    <row r="194">
      <c r="B194" s="14"/>
    </row>
    <row r="195">
      <c r="B195" s="14"/>
    </row>
    <row r="196">
      <c r="B196" s="14"/>
    </row>
    <row r="197">
      <c r="B197" s="14"/>
    </row>
    <row r="198">
      <c r="B198" s="14"/>
    </row>
    <row r="199">
      <c r="B199" s="14"/>
    </row>
    <row r="200">
      <c r="B200" s="14"/>
    </row>
    <row r="201">
      <c r="B201" s="14"/>
    </row>
    <row r="202">
      <c r="B202" s="14"/>
    </row>
    <row r="203">
      <c r="B203" s="14"/>
    </row>
    <row r="204">
      <c r="B204" s="14"/>
    </row>
    <row r="205">
      <c r="B205" s="14"/>
    </row>
    <row r="206">
      <c r="B206" s="14"/>
    </row>
    <row r="207">
      <c r="B207" s="14"/>
    </row>
    <row r="208">
      <c r="B208" s="14"/>
    </row>
    <row r="209">
      <c r="B209" s="14"/>
    </row>
    <row r="210">
      <c r="B210" s="14"/>
    </row>
    <row r="211">
      <c r="B211" s="14"/>
    </row>
    <row r="212">
      <c r="B212" s="14"/>
    </row>
    <row r="213">
      <c r="B213" s="14"/>
    </row>
    <row r="214">
      <c r="B214" s="14"/>
    </row>
    <row r="215">
      <c r="B215" s="14"/>
    </row>
    <row r="216">
      <c r="B216" s="14"/>
    </row>
    <row r="217">
      <c r="B217" s="14"/>
    </row>
    <row r="218">
      <c r="B218" s="14"/>
    </row>
    <row r="219">
      <c r="B219" s="14"/>
    </row>
    <row r="220">
      <c r="B220" s="14"/>
    </row>
    <row r="221">
      <c r="B221" s="14"/>
    </row>
    <row r="222">
      <c r="B222" s="14"/>
    </row>
    <row r="223">
      <c r="B223" s="14"/>
    </row>
    <row r="224">
      <c r="B224" s="14"/>
    </row>
    <row r="225">
      <c r="B225" s="14"/>
    </row>
    <row r="226">
      <c r="B226" s="14"/>
    </row>
    <row r="227">
      <c r="B227" s="14"/>
    </row>
    <row r="228">
      <c r="B228" s="14"/>
    </row>
    <row r="229">
      <c r="B229" s="14"/>
    </row>
    <row r="230">
      <c r="B230" s="14"/>
    </row>
    <row r="231">
      <c r="B231" s="14"/>
    </row>
    <row r="232">
      <c r="B232" s="14"/>
    </row>
    <row r="233">
      <c r="B233" s="14"/>
    </row>
    <row r="234">
      <c r="B234" s="14"/>
    </row>
    <row r="235">
      <c r="B235" s="14"/>
    </row>
    <row r="236">
      <c r="B236" s="14"/>
    </row>
    <row r="237">
      <c r="B237" s="14"/>
    </row>
    <row r="238">
      <c r="B238" s="14"/>
    </row>
    <row r="239">
      <c r="B239" s="14"/>
    </row>
    <row r="240">
      <c r="B240" s="14"/>
    </row>
    <row r="241">
      <c r="B241" s="14"/>
    </row>
    <row r="242">
      <c r="B242" s="14"/>
    </row>
    <row r="243">
      <c r="B243" s="14"/>
    </row>
    <row r="244">
      <c r="B244" s="14"/>
    </row>
    <row r="245">
      <c r="B245" s="14"/>
    </row>
    <row r="246">
      <c r="B246" s="14"/>
    </row>
    <row r="247">
      <c r="B247" s="14"/>
    </row>
    <row r="248">
      <c r="B248" s="14"/>
    </row>
    <row r="249">
      <c r="B249" s="14"/>
    </row>
    <row r="250">
      <c r="B250" s="14"/>
    </row>
    <row r="251">
      <c r="B251" s="14"/>
    </row>
    <row r="252">
      <c r="B252" s="14"/>
    </row>
    <row r="253">
      <c r="B253" s="14"/>
    </row>
    <row r="254">
      <c r="B254" s="14"/>
    </row>
    <row r="255">
      <c r="B255" s="14"/>
    </row>
    <row r="256">
      <c r="B256" s="14"/>
    </row>
    <row r="257">
      <c r="B257" s="14"/>
    </row>
    <row r="258">
      <c r="B258" s="14"/>
    </row>
    <row r="259">
      <c r="B259" s="14"/>
    </row>
    <row r="260">
      <c r="B260" s="14"/>
    </row>
    <row r="261">
      <c r="B261" s="14"/>
    </row>
    <row r="262">
      <c r="B262" s="14"/>
    </row>
    <row r="263">
      <c r="B263" s="14"/>
    </row>
    <row r="264">
      <c r="B264" s="14"/>
    </row>
    <row r="265">
      <c r="B265" s="14"/>
    </row>
    <row r="266">
      <c r="B266" s="14"/>
    </row>
    <row r="267">
      <c r="B267" s="14"/>
    </row>
    <row r="268">
      <c r="B268" s="14"/>
    </row>
    <row r="269">
      <c r="B269" s="14"/>
    </row>
    <row r="270">
      <c r="B270" s="14"/>
    </row>
    <row r="271">
      <c r="B271" s="14"/>
    </row>
    <row r="272">
      <c r="B272" s="14"/>
    </row>
    <row r="273">
      <c r="B273" s="14"/>
    </row>
    <row r="274">
      <c r="B274" s="14"/>
    </row>
    <row r="275">
      <c r="B275" s="14"/>
    </row>
    <row r="276">
      <c r="B276" s="14"/>
    </row>
    <row r="277">
      <c r="B277" s="14"/>
    </row>
    <row r="278">
      <c r="B278" s="14"/>
    </row>
    <row r="279">
      <c r="B279" s="14"/>
    </row>
    <row r="280">
      <c r="B280" s="14"/>
    </row>
    <row r="281">
      <c r="B281" s="14"/>
    </row>
    <row r="282">
      <c r="B282" s="14"/>
    </row>
    <row r="283">
      <c r="B283" s="14"/>
    </row>
    <row r="284">
      <c r="B284" s="14"/>
    </row>
    <row r="285">
      <c r="B285" s="14"/>
    </row>
    <row r="286">
      <c r="B286" s="14"/>
    </row>
    <row r="287">
      <c r="B287" s="14"/>
    </row>
    <row r="288">
      <c r="B288" s="14"/>
    </row>
    <row r="289">
      <c r="B289" s="14"/>
    </row>
    <row r="290">
      <c r="B290" s="14"/>
    </row>
    <row r="291">
      <c r="B291" s="14"/>
    </row>
    <row r="292">
      <c r="B292" s="14"/>
    </row>
    <row r="293">
      <c r="B293" s="14"/>
    </row>
    <row r="294">
      <c r="B294" s="14"/>
    </row>
    <row r="295">
      <c r="B295" s="14"/>
    </row>
    <row r="296">
      <c r="B296" s="14"/>
    </row>
    <row r="297">
      <c r="B297" s="14"/>
    </row>
    <row r="298">
      <c r="B298" s="14"/>
    </row>
    <row r="299">
      <c r="B299" s="14"/>
    </row>
    <row r="300">
      <c r="B300" s="14"/>
    </row>
    <row r="301">
      <c r="B301" s="14"/>
    </row>
    <row r="302">
      <c r="B302" s="14"/>
    </row>
    <row r="303">
      <c r="B303" s="14"/>
    </row>
    <row r="304">
      <c r="B304" s="14"/>
    </row>
    <row r="305">
      <c r="B305" s="14"/>
    </row>
    <row r="306">
      <c r="B306" s="14"/>
    </row>
    <row r="307">
      <c r="B307" s="14"/>
    </row>
    <row r="308">
      <c r="B308" s="14"/>
    </row>
    <row r="309">
      <c r="B309" s="14"/>
    </row>
    <row r="310">
      <c r="B310" s="14"/>
    </row>
    <row r="311">
      <c r="B311" s="14"/>
    </row>
    <row r="312">
      <c r="B312" s="14"/>
    </row>
    <row r="313">
      <c r="B313" s="14"/>
    </row>
    <row r="314">
      <c r="B314" s="14"/>
    </row>
    <row r="315">
      <c r="B315" s="14"/>
    </row>
    <row r="316">
      <c r="B316" s="14"/>
    </row>
    <row r="317">
      <c r="B317" s="14"/>
    </row>
    <row r="318">
      <c r="B318" s="14"/>
    </row>
    <row r="319">
      <c r="B319" s="14"/>
    </row>
    <row r="320">
      <c r="B320" s="14"/>
    </row>
    <row r="321">
      <c r="B321" s="14"/>
    </row>
    <row r="322">
      <c r="B322" s="14"/>
    </row>
    <row r="323">
      <c r="B323" s="14"/>
    </row>
    <row r="324">
      <c r="B324" s="14"/>
    </row>
    <row r="325">
      <c r="B325" s="14"/>
    </row>
    <row r="326">
      <c r="B326" s="14"/>
    </row>
    <row r="327">
      <c r="B327" s="14"/>
    </row>
    <row r="328">
      <c r="B328" s="14"/>
    </row>
    <row r="329">
      <c r="B329" s="14"/>
    </row>
    <row r="330">
      <c r="B330" s="14"/>
    </row>
    <row r="331">
      <c r="B331" s="14"/>
    </row>
    <row r="332">
      <c r="B332" s="14"/>
    </row>
    <row r="333">
      <c r="B333" s="14"/>
    </row>
    <row r="334">
      <c r="B334" s="14"/>
    </row>
    <row r="335">
      <c r="B335" s="14"/>
    </row>
    <row r="336">
      <c r="B336" s="14"/>
    </row>
    <row r="337">
      <c r="B337" s="14"/>
    </row>
    <row r="338">
      <c r="B338" s="14"/>
    </row>
    <row r="339">
      <c r="B339" s="14"/>
    </row>
    <row r="340">
      <c r="B340" s="14"/>
    </row>
    <row r="341">
      <c r="B341" s="14"/>
    </row>
    <row r="342">
      <c r="B342" s="14"/>
    </row>
    <row r="343">
      <c r="B343" s="14"/>
    </row>
    <row r="344">
      <c r="B344" s="14"/>
    </row>
    <row r="345">
      <c r="B345" s="14"/>
    </row>
    <row r="346">
      <c r="B346" s="14"/>
    </row>
    <row r="347">
      <c r="B347" s="14"/>
    </row>
    <row r="348">
      <c r="B348" s="14"/>
    </row>
    <row r="349">
      <c r="B349" s="14"/>
    </row>
    <row r="350">
      <c r="B350" s="14"/>
    </row>
    <row r="351">
      <c r="B351" s="14"/>
    </row>
    <row r="352">
      <c r="B352" s="14"/>
    </row>
    <row r="353">
      <c r="B353" s="14"/>
    </row>
    <row r="354">
      <c r="B354" s="14"/>
    </row>
    <row r="355">
      <c r="B355" s="14"/>
    </row>
    <row r="356">
      <c r="B356" s="14"/>
    </row>
    <row r="357">
      <c r="B357" s="14"/>
    </row>
    <row r="358">
      <c r="B358" s="14"/>
    </row>
    <row r="359">
      <c r="B359" s="14"/>
    </row>
    <row r="360">
      <c r="B360" s="14"/>
    </row>
    <row r="361">
      <c r="B361" s="14"/>
    </row>
    <row r="362">
      <c r="B362" s="14"/>
    </row>
    <row r="363">
      <c r="B363" s="14"/>
    </row>
    <row r="364">
      <c r="B364" s="14"/>
    </row>
    <row r="365">
      <c r="B365" s="14"/>
    </row>
    <row r="366">
      <c r="B366" s="14"/>
    </row>
    <row r="367">
      <c r="B367" s="14"/>
    </row>
    <row r="368">
      <c r="B368" s="14"/>
    </row>
    <row r="369">
      <c r="B369" s="14"/>
    </row>
    <row r="370">
      <c r="B370" s="14"/>
    </row>
    <row r="371">
      <c r="B371" s="14"/>
    </row>
    <row r="372">
      <c r="B372" s="14"/>
    </row>
    <row r="373">
      <c r="B373" s="14"/>
    </row>
    <row r="374">
      <c r="B374" s="14"/>
    </row>
    <row r="375">
      <c r="B375" s="14"/>
    </row>
    <row r="376">
      <c r="B376" s="14"/>
    </row>
    <row r="377">
      <c r="B377" s="14"/>
    </row>
    <row r="378">
      <c r="B378" s="14"/>
    </row>
    <row r="379">
      <c r="B379" s="14"/>
    </row>
    <row r="380">
      <c r="B380" s="14"/>
    </row>
    <row r="381">
      <c r="B381" s="14"/>
    </row>
    <row r="382">
      <c r="B382" s="14"/>
    </row>
    <row r="383">
      <c r="B383" s="14"/>
    </row>
    <row r="384">
      <c r="B384" s="14"/>
    </row>
    <row r="385">
      <c r="B385" s="14"/>
    </row>
    <row r="386">
      <c r="B386" s="14"/>
    </row>
    <row r="387">
      <c r="B387" s="14"/>
    </row>
    <row r="388">
      <c r="B388" s="14"/>
    </row>
    <row r="389">
      <c r="B389" s="14"/>
    </row>
    <row r="390">
      <c r="B390" s="14"/>
    </row>
    <row r="391">
      <c r="B391" s="14"/>
    </row>
    <row r="392">
      <c r="B392" s="14"/>
    </row>
    <row r="393">
      <c r="B393" s="14"/>
    </row>
    <row r="394">
      <c r="B394" s="14"/>
    </row>
    <row r="395">
      <c r="B395" s="14"/>
    </row>
    <row r="396">
      <c r="B396" s="14"/>
    </row>
    <row r="397">
      <c r="B397" s="14"/>
    </row>
    <row r="398">
      <c r="B398" s="14"/>
    </row>
    <row r="399">
      <c r="B399" s="14"/>
    </row>
    <row r="400">
      <c r="B400" s="14"/>
    </row>
    <row r="401">
      <c r="B401" s="14"/>
    </row>
    <row r="402">
      <c r="B402" s="14"/>
    </row>
    <row r="403">
      <c r="B403" s="14"/>
    </row>
    <row r="404">
      <c r="B404" s="14"/>
    </row>
    <row r="405">
      <c r="B405" s="14"/>
    </row>
    <row r="406">
      <c r="B406" s="14"/>
    </row>
    <row r="407">
      <c r="B407" s="14"/>
    </row>
    <row r="408">
      <c r="B408" s="14"/>
    </row>
    <row r="409">
      <c r="B409" s="14"/>
    </row>
    <row r="410">
      <c r="B410" s="14"/>
    </row>
    <row r="411">
      <c r="B411" s="14"/>
    </row>
    <row r="412">
      <c r="B412" s="14"/>
    </row>
    <row r="413">
      <c r="B413" s="14"/>
    </row>
    <row r="414">
      <c r="B414" s="14"/>
    </row>
    <row r="415">
      <c r="B415" s="14"/>
    </row>
    <row r="416">
      <c r="B416" s="14"/>
    </row>
    <row r="417">
      <c r="B417" s="14"/>
    </row>
    <row r="418">
      <c r="B418" s="14"/>
    </row>
    <row r="419">
      <c r="B419" s="14"/>
    </row>
    <row r="420">
      <c r="B420" s="14"/>
    </row>
    <row r="421">
      <c r="B421" s="14"/>
    </row>
    <row r="422">
      <c r="B422" s="14"/>
    </row>
    <row r="423">
      <c r="B423" s="14"/>
    </row>
    <row r="424">
      <c r="B424" s="14"/>
    </row>
    <row r="425">
      <c r="B425" s="14"/>
    </row>
    <row r="426">
      <c r="B426" s="14"/>
    </row>
    <row r="427">
      <c r="B427" s="14"/>
    </row>
    <row r="428">
      <c r="B428" s="14"/>
    </row>
    <row r="429">
      <c r="B429" s="14"/>
    </row>
    <row r="430">
      <c r="B430" s="14"/>
    </row>
    <row r="431">
      <c r="B431" s="14"/>
    </row>
    <row r="432">
      <c r="B432" s="14"/>
    </row>
    <row r="433">
      <c r="B433" s="14"/>
    </row>
    <row r="434">
      <c r="B434" s="14"/>
    </row>
    <row r="435">
      <c r="B435" s="14"/>
    </row>
    <row r="436">
      <c r="B436" s="14"/>
    </row>
    <row r="437">
      <c r="B437" s="14"/>
    </row>
    <row r="438">
      <c r="B438" s="14"/>
    </row>
    <row r="439">
      <c r="B439" s="14"/>
    </row>
    <row r="440">
      <c r="B440" s="14"/>
    </row>
    <row r="441">
      <c r="B441" s="14"/>
    </row>
    <row r="442">
      <c r="B442" s="14"/>
    </row>
    <row r="443">
      <c r="B443" s="14"/>
    </row>
    <row r="444">
      <c r="B444" s="14"/>
    </row>
    <row r="445">
      <c r="B445" s="14"/>
    </row>
    <row r="446">
      <c r="B446" s="14"/>
    </row>
    <row r="447">
      <c r="B447" s="14"/>
    </row>
    <row r="448">
      <c r="B448" s="14"/>
    </row>
    <row r="449">
      <c r="B449" s="14"/>
    </row>
    <row r="450">
      <c r="B450" s="14"/>
    </row>
    <row r="451">
      <c r="B451" s="14"/>
    </row>
    <row r="452">
      <c r="B452" s="14"/>
    </row>
    <row r="453">
      <c r="B453" s="14"/>
    </row>
    <row r="454">
      <c r="B454" s="14"/>
    </row>
    <row r="455">
      <c r="B455" s="14"/>
    </row>
    <row r="456">
      <c r="B456" s="14"/>
    </row>
    <row r="457">
      <c r="B457" s="14"/>
    </row>
    <row r="458">
      <c r="B458" s="14"/>
    </row>
    <row r="459">
      <c r="B459" s="14"/>
    </row>
    <row r="460">
      <c r="B460" s="14"/>
    </row>
    <row r="461">
      <c r="B461" s="14"/>
    </row>
    <row r="462">
      <c r="B462" s="14"/>
    </row>
    <row r="463">
      <c r="B463" s="14"/>
    </row>
    <row r="464">
      <c r="B464" s="14"/>
    </row>
    <row r="465">
      <c r="B465" s="14"/>
    </row>
    <row r="466">
      <c r="B466" s="14"/>
    </row>
    <row r="467">
      <c r="B467" s="14"/>
    </row>
    <row r="468">
      <c r="B468" s="14"/>
    </row>
    <row r="469">
      <c r="B469" s="14"/>
    </row>
    <row r="470">
      <c r="B470" s="14"/>
    </row>
    <row r="471">
      <c r="B471" s="14"/>
    </row>
    <row r="472">
      <c r="B472" s="14"/>
    </row>
    <row r="473">
      <c r="B473" s="14"/>
    </row>
    <row r="474">
      <c r="B474" s="14"/>
    </row>
    <row r="475">
      <c r="B475" s="14"/>
    </row>
    <row r="476">
      <c r="B476" s="14"/>
    </row>
    <row r="477">
      <c r="B477" s="14"/>
    </row>
    <row r="478">
      <c r="B478" s="14"/>
    </row>
    <row r="479">
      <c r="B479" s="14"/>
    </row>
    <row r="480">
      <c r="B480" s="14"/>
    </row>
    <row r="481">
      <c r="B481" s="14"/>
    </row>
    <row r="482">
      <c r="B482" s="14"/>
    </row>
    <row r="483">
      <c r="B483" s="14"/>
    </row>
    <row r="484">
      <c r="B484" s="14"/>
    </row>
    <row r="485">
      <c r="B485" s="14"/>
    </row>
    <row r="486">
      <c r="B486" s="14"/>
    </row>
    <row r="487">
      <c r="B487" s="14"/>
    </row>
    <row r="488">
      <c r="B488" s="14"/>
    </row>
    <row r="489">
      <c r="B489" s="14"/>
    </row>
    <row r="490">
      <c r="B490" s="14"/>
    </row>
    <row r="491">
      <c r="B491" s="14"/>
    </row>
    <row r="492">
      <c r="B492" s="14"/>
    </row>
    <row r="493">
      <c r="B493" s="14"/>
    </row>
    <row r="494">
      <c r="B494" s="14"/>
    </row>
    <row r="495">
      <c r="B495" s="14"/>
    </row>
    <row r="496">
      <c r="B496" s="14"/>
    </row>
    <row r="497">
      <c r="B497" s="14"/>
    </row>
    <row r="498">
      <c r="B498" s="14"/>
    </row>
    <row r="499">
      <c r="B499" s="14"/>
    </row>
    <row r="500">
      <c r="B500" s="14"/>
    </row>
    <row r="501">
      <c r="B501" s="14"/>
    </row>
    <row r="502">
      <c r="B502" s="14"/>
    </row>
    <row r="503">
      <c r="B503" s="14"/>
    </row>
    <row r="504">
      <c r="B504" s="14"/>
    </row>
    <row r="505">
      <c r="B505" s="14"/>
    </row>
    <row r="506">
      <c r="B506" s="14"/>
    </row>
    <row r="507">
      <c r="B507" s="14"/>
    </row>
    <row r="508">
      <c r="B508" s="14"/>
    </row>
    <row r="509">
      <c r="B509" s="14"/>
    </row>
    <row r="510">
      <c r="B510" s="14"/>
    </row>
    <row r="511">
      <c r="B511" s="14"/>
    </row>
    <row r="512">
      <c r="B512" s="14"/>
    </row>
    <row r="513">
      <c r="B513" s="14"/>
    </row>
    <row r="514">
      <c r="B514" s="14"/>
    </row>
    <row r="515">
      <c r="B515" s="14"/>
    </row>
    <row r="516">
      <c r="B516" s="14"/>
    </row>
    <row r="517">
      <c r="B517" s="14"/>
    </row>
    <row r="518">
      <c r="B518" s="14"/>
    </row>
    <row r="519">
      <c r="B519" s="14"/>
    </row>
    <row r="520">
      <c r="B520" s="14"/>
    </row>
    <row r="521">
      <c r="B521" s="14"/>
    </row>
    <row r="522">
      <c r="B522" s="14"/>
    </row>
    <row r="523">
      <c r="B523" s="14"/>
    </row>
    <row r="524">
      <c r="B524" s="14"/>
    </row>
    <row r="525">
      <c r="B525" s="14"/>
    </row>
    <row r="526">
      <c r="B526" s="14"/>
    </row>
    <row r="527">
      <c r="B527" s="14"/>
    </row>
    <row r="528">
      <c r="B528" s="14"/>
    </row>
    <row r="529">
      <c r="B529" s="14"/>
    </row>
    <row r="530">
      <c r="B530" s="14"/>
    </row>
    <row r="531">
      <c r="B531" s="14"/>
    </row>
    <row r="532">
      <c r="B532" s="14"/>
    </row>
    <row r="533">
      <c r="B533" s="14"/>
    </row>
    <row r="534">
      <c r="B534" s="14"/>
    </row>
    <row r="535">
      <c r="B535" s="14"/>
    </row>
    <row r="536">
      <c r="B536" s="14"/>
    </row>
    <row r="537">
      <c r="B537" s="14"/>
    </row>
    <row r="538">
      <c r="B538" s="14"/>
    </row>
    <row r="539">
      <c r="B539" s="14"/>
    </row>
    <row r="540">
      <c r="B540" s="14"/>
    </row>
    <row r="541">
      <c r="B541" s="14"/>
    </row>
    <row r="542">
      <c r="B542" s="14"/>
    </row>
    <row r="543">
      <c r="B543" s="14"/>
    </row>
    <row r="544">
      <c r="B544" s="14"/>
    </row>
    <row r="545">
      <c r="B545" s="14"/>
    </row>
    <row r="546">
      <c r="B546" s="14"/>
    </row>
    <row r="547">
      <c r="B547" s="14"/>
    </row>
    <row r="548">
      <c r="B548" s="14"/>
    </row>
    <row r="549">
      <c r="B549" s="14"/>
    </row>
    <row r="550">
      <c r="B550" s="14"/>
    </row>
    <row r="551">
      <c r="B551" s="14"/>
    </row>
    <row r="552">
      <c r="B552" s="14"/>
    </row>
    <row r="553">
      <c r="B553" s="14"/>
    </row>
    <row r="554">
      <c r="B554" s="14"/>
    </row>
    <row r="555">
      <c r="B555" s="14"/>
    </row>
    <row r="556">
      <c r="B556" s="14"/>
    </row>
    <row r="557">
      <c r="B557" s="14"/>
    </row>
    <row r="558">
      <c r="B558" s="14"/>
    </row>
    <row r="559">
      <c r="B559" s="14"/>
    </row>
    <row r="560">
      <c r="B560" s="14"/>
    </row>
    <row r="561">
      <c r="B561" s="14"/>
    </row>
    <row r="562">
      <c r="B562" s="14"/>
    </row>
    <row r="563">
      <c r="B563" s="14"/>
    </row>
    <row r="564">
      <c r="B564" s="14"/>
    </row>
    <row r="565">
      <c r="B565" s="14"/>
    </row>
    <row r="566">
      <c r="B566" s="14"/>
    </row>
    <row r="567">
      <c r="B567" s="14"/>
    </row>
    <row r="568">
      <c r="B568" s="14"/>
    </row>
    <row r="569">
      <c r="B569" s="14"/>
    </row>
    <row r="570">
      <c r="B570" s="14"/>
    </row>
    <row r="571">
      <c r="B571" s="14"/>
    </row>
    <row r="572">
      <c r="B572" s="14"/>
    </row>
    <row r="573">
      <c r="B573" s="14"/>
    </row>
    <row r="574">
      <c r="B574" s="14"/>
    </row>
    <row r="575">
      <c r="B575" s="14"/>
    </row>
    <row r="576">
      <c r="B576" s="14"/>
    </row>
    <row r="577">
      <c r="B577" s="14"/>
    </row>
    <row r="578">
      <c r="B578" s="14"/>
    </row>
    <row r="579">
      <c r="B579" s="14"/>
    </row>
    <row r="580">
      <c r="B580" s="14"/>
    </row>
    <row r="581">
      <c r="B581" s="14"/>
    </row>
    <row r="582">
      <c r="B582" s="14"/>
    </row>
    <row r="583">
      <c r="B583" s="14"/>
    </row>
    <row r="584">
      <c r="B584" s="14"/>
    </row>
    <row r="585">
      <c r="B585" s="14"/>
    </row>
    <row r="586">
      <c r="B586" s="14"/>
    </row>
    <row r="587">
      <c r="B587" s="14"/>
    </row>
    <row r="588">
      <c r="B588" s="14"/>
    </row>
    <row r="589">
      <c r="B589" s="14"/>
    </row>
    <row r="590">
      <c r="B590" s="14"/>
    </row>
    <row r="591">
      <c r="B591" s="14"/>
    </row>
    <row r="592">
      <c r="B592" s="14"/>
    </row>
    <row r="593">
      <c r="B593" s="14"/>
    </row>
    <row r="594">
      <c r="B594" s="14"/>
    </row>
    <row r="595">
      <c r="B595" s="14"/>
    </row>
    <row r="596">
      <c r="B596" s="14"/>
    </row>
    <row r="597">
      <c r="B597" s="14"/>
    </row>
    <row r="598">
      <c r="B598" s="14"/>
    </row>
    <row r="599">
      <c r="B599" s="14"/>
    </row>
    <row r="600">
      <c r="B600" s="14"/>
    </row>
    <row r="601">
      <c r="B601" s="14"/>
    </row>
    <row r="602">
      <c r="B602" s="14"/>
    </row>
    <row r="603">
      <c r="B603" s="14"/>
    </row>
    <row r="604">
      <c r="B604" s="14"/>
    </row>
    <row r="605">
      <c r="B605" s="14"/>
    </row>
    <row r="606">
      <c r="B606" s="14"/>
    </row>
    <row r="607">
      <c r="B607" s="14"/>
    </row>
    <row r="608">
      <c r="B608" s="14"/>
    </row>
    <row r="609">
      <c r="B609" s="14"/>
    </row>
    <row r="610">
      <c r="B610" s="14"/>
    </row>
    <row r="611">
      <c r="B611" s="14"/>
    </row>
    <row r="612">
      <c r="B612" s="14"/>
    </row>
    <row r="613">
      <c r="B613" s="14"/>
    </row>
    <row r="614">
      <c r="B614" s="14"/>
    </row>
    <row r="615">
      <c r="B615" s="14"/>
    </row>
    <row r="616">
      <c r="B616" s="14"/>
    </row>
    <row r="617">
      <c r="B617" s="14"/>
    </row>
    <row r="618">
      <c r="B618" s="14"/>
    </row>
    <row r="619">
      <c r="B619" s="14"/>
    </row>
    <row r="620">
      <c r="B620" s="14"/>
    </row>
    <row r="621">
      <c r="B621" s="14"/>
    </row>
    <row r="622">
      <c r="B622" s="14"/>
    </row>
    <row r="623">
      <c r="B623" s="14"/>
    </row>
    <row r="624">
      <c r="B624" s="14"/>
    </row>
    <row r="625">
      <c r="B625" s="14"/>
    </row>
    <row r="626">
      <c r="B626" s="14"/>
    </row>
    <row r="627">
      <c r="B627" s="14"/>
    </row>
    <row r="628">
      <c r="B628" s="14"/>
    </row>
    <row r="629">
      <c r="B629" s="14"/>
    </row>
    <row r="630">
      <c r="B630" s="14"/>
    </row>
    <row r="631">
      <c r="B631" s="14"/>
    </row>
    <row r="632">
      <c r="B632" s="14"/>
    </row>
    <row r="633">
      <c r="B633" s="14"/>
    </row>
    <row r="634">
      <c r="B634" s="14"/>
    </row>
    <row r="635">
      <c r="B635" s="14"/>
    </row>
    <row r="636">
      <c r="B636" s="14"/>
    </row>
    <row r="637">
      <c r="B637" s="14"/>
    </row>
    <row r="638">
      <c r="B638" s="14"/>
    </row>
    <row r="639">
      <c r="B639" s="14"/>
    </row>
    <row r="640">
      <c r="B640" s="14"/>
    </row>
    <row r="641">
      <c r="B641" s="14"/>
    </row>
    <row r="642">
      <c r="B642" s="14"/>
    </row>
    <row r="643">
      <c r="B643" s="14"/>
    </row>
    <row r="644">
      <c r="B644" s="14"/>
    </row>
    <row r="645">
      <c r="B645" s="14"/>
    </row>
    <row r="646">
      <c r="B646" s="14"/>
    </row>
    <row r="647">
      <c r="B647" s="14"/>
    </row>
    <row r="648">
      <c r="B648" s="14"/>
    </row>
    <row r="649">
      <c r="B649" s="14"/>
    </row>
    <row r="650">
      <c r="B650" s="14"/>
    </row>
    <row r="651">
      <c r="B651" s="14"/>
    </row>
    <row r="652">
      <c r="B652" s="14"/>
    </row>
    <row r="653">
      <c r="B653" s="14"/>
    </row>
    <row r="654">
      <c r="B654" s="14"/>
    </row>
    <row r="655">
      <c r="B655" s="14"/>
    </row>
    <row r="656">
      <c r="B656" s="14"/>
    </row>
    <row r="657">
      <c r="B657" s="14"/>
    </row>
    <row r="658">
      <c r="B658" s="14"/>
    </row>
    <row r="659">
      <c r="B659" s="14"/>
    </row>
    <row r="660">
      <c r="B660" s="14"/>
    </row>
    <row r="661">
      <c r="B661" s="14"/>
    </row>
    <row r="662">
      <c r="B662" s="14"/>
    </row>
    <row r="663">
      <c r="B663" s="14"/>
    </row>
    <row r="664">
      <c r="B664" s="14"/>
    </row>
    <row r="665">
      <c r="B665" s="14"/>
    </row>
    <row r="666">
      <c r="B666" s="14"/>
    </row>
    <row r="667">
      <c r="B667" s="14"/>
    </row>
    <row r="668">
      <c r="B668" s="14"/>
    </row>
    <row r="669">
      <c r="B669" s="14"/>
    </row>
    <row r="670">
      <c r="B670" s="14"/>
    </row>
    <row r="671">
      <c r="B671" s="14"/>
    </row>
    <row r="672">
      <c r="B672" s="14"/>
    </row>
    <row r="673">
      <c r="B673" s="14"/>
    </row>
    <row r="674">
      <c r="B674" s="14"/>
    </row>
    <row r="675">
      <c r="B675" s="14"/>
    </row>
    <row r="676">
      <c r="B676" s="14"/>
    </row>
    <row r="677">
      <c r="B677" s="14"/>
    </row>
    <row r="678">
      <c r="B678" s="14"/>
    </row>
    <row r="679">
      <c r="B679" s="14"/>
    </row>
    <row r="680">
      <c r="B680" s="14"/>
    </row>
    <row r="681">
      <c r="B681" s="14"/>
    </row>
    <row r="682">
      <c r="B682" s="14"/>
    </row>
    <row r="683">
      <c r="B683" s="14"/>
    </row>
    <row r="684">
      <c r="B684" s="14"/>
    </row>
    <row r="685">
      <c r="B685" s="14"/>
    </row>
    <row r="686">
      <c r="B686" s="14"/>
    </row>
    <row r="687">
      <c r="B687" s="14"/>
    </row>
    <row r="688">
      <c r="B688" s="14"/>
    </row>
    <row r="689">
      <c r="B689" s="14"/>
    </row>
    <row r="690">
      <c r="B690" s="14"/>
    </row>
    <row r="691">
      <c r="B691" s="14"/>
    </row>
    <row r="692">
      <c r="B692" s="14"/>
    </row>
    <row r="693">
      <c r="B693" s="14"/>
    </row>
    <row r="694">
      <c r="B694" s="14"/>
    </row>
    <row r="695">
      <c r="B695" s="14"/>
    </row>
    <row r="696">
      <c r="B696" s="14"/>
    </row>
    <row r="697">
      <c r="B697" s="14"/>
    </row>
    <row r="698">
      <c r="B698" s="14"/>
    </row>
    <row r="699">
      <c r="B699" s="14"/>
    </row>
    <row r="700">
      <c r="B700" s="14"/>
    </row>
    <row r="701">
      <c r="B701" s="14"/>
    </row>
    <row r="702">
      <c r="B702" s="14"/>
    </row>
    <row r="703">
      <c r="B703" s="14"/>
    </row>
    <row r="704">
      <c r="B704" s="14"/>
    </row>
    <row r="705">
      <c r="B705" s="14"/>
    </row>
    <row r="706">
      <c r="B706" s="14"/>
    </row>
    <row r="707">
      <c r="B707" s="14"/>
    </row>
    <row r="708">
      <c r="B708" s="14"/>
    </row>
    <row r="709">
      <c r="B709" s="14"/>
    </row>
    <row r="710">
      <c r="B710" s="14"/>
    </row>
    <row r="711">
      <c r="B711" s="14"/>
    </row>
    <row r="712">
      <c r="B712" s="14"/>
    </row>
    <row r="713">
      <c r="B713" s="14"/>
    </row>
    <row r="714">
      <c r="B714" s="14"/>
    </row>
    <row r="715">
      <c r="B715" s="14"/>
    </row>
    <row r="716">
      <c r="B716" s="14"/>
    </row>
    <row r="717">
      <c r="B717" s="14"/>
    </row>
    <row r="718">
      <c r="B718" s="14"/>
    </row>
    <row r="719">
      <c r="B719" s="14"/>
    </row>
    <row r="720">
      <c r="B720" s="14"/>
    </row>
    <row r="721">
      <c r="B721" s="14"/>
    </row>
    <row r="722">
      <c r="B722" s="14"/>
    </row>
    <row r="723">
      <c r="B723" s="14"/>
    </row>
    <row r="724">
      <c r="B724" s="14"/>
    </row>
    <row r="725">
      <c r="B725" s="14"/>
    </row>
    <row r="726">
      <c r="B726" s="14"/>
    </row>
    <row r="727">
      <c r="B727" s="14"/>
    </row>
    <row r="728">
      <c r="B728" s="14"/>
    </row>
    <row r="729">
      <c r="B729" s="14"/>
    </row>
    <row r="730">
      <c r="B730" s="14"/>
    </row>
    <row r="731">
      <c r="B731" s="14"/>
    </row>
    <row r="732">
      <c r="B732" s="14"/>
    </row>
    <row r="733">
      <c r="B733" s="14"/>
    </row>
    <row r="734">
      <c r="B734" s="14"/>
    </row>
    <row r="735">
      <c r="B735" s="14"/>
    </row>
    <row r="736">
      <c r="B736" s="14"/>
    </row>
    <row r="737">
      <c r="B737" s="14"/>
    </row>
    <row r="738">
      <c r="B738" s="14"/>
    </row>
    <row r="739">
      <c r="B739" s="14"/>
    </row>
    <row r="740">
      <c r="B740" s="14"/>
    </row>
    <row r="741">
      <c r="B741" s="14"/>
    </row>
    <row r="742">
      <c r="B742" s="14"/>
    </row>
    <row r="743">
      <c r="B743" s="14"/>
    </row>
    <row r="744">
      <c r="B744" s="14"/>
    </row>
    <row r="745">
      <c r="B745" s="14"/>
    </row>
    <row r="746">
      <c r="B746" s="14"/>
    </row>
    <row r="747">
      <c r="B747" s="14"/>
    </row>
    <row r="748">
      <c r="B748" s="14"/>
    </row>
    <row r="749">
      <c r="B749" s="14"/>
    </row>
    <row r="750">
      <c r="B750" s="14"/>
    </row>
    <row r="751">
      <c r="B751" s="14"/>
    </row>
    <row r="752">
      <c r="B752" s="14"/>
    </row>
    <row r="753">
      <c r="B753" s="14"/>
    </row>
    <row r="754">
      <c r="B754" s="14"/>
    </row>
    <row r="755">
      <c r="B755" s="14"/>
    </row>
    <row r="756">
      <c r="B756" s="14"/>
    </row>
    <row r="757">
      <c r="B757" s="14"/>
    </row>
    <row r="758">
      <c r="B758" s="14"/>
    </row>
    <row r="759">
      <c r="B759" s="14"/>
    </row>
    <row r="760">
      <c r="B760" s="14"/>
    </row>
    <row r="761">
      <c r="B761" s="14"/>
    </row>
    <row r="762">
      <c r="B762" s="14"/>
    </row>
    <row r="763">
      <c r="B763" s="14"/>
    </row>
    <row r="764">
      <c r="B764" s="14"/>
    </row>
    <row r="765">
      <c r="B765" s="14"/>
    </row>
    <row r="766">
      <c r="B766" s="14"/>
    </row>
    <row r="767">
      <c r="B767" s="14"/>
    </row>
    <row r="768">
      <c r="B768" s="14"/>
    </row>
    <row r="769">
      <c r="B769" s="14"/>
    </row>
    <row r="770">
      <c r="B770" s="14"/>
    </row>
    <row r="771">
      <c r="B771" s="14"/>
    </row>
    <row r="772">
      <c r="B772" s="14"/>
    </row>
    <row r="773">
      <c r="B773" s="14"/>
    </row>
    <row r="774">
      <c r="B774" s="14"/>
    </row>
    <row r="775">
      <c r="B775" s="14"/>
    </row>
    <row r="776">
      <c r="B776" s="14"/>
    </row>
    <row r="777">
      <c r="B777" s="14"/>
    </row>
    <row r="778">
      <c r="B778" s="14"/>
    </row>
    <row r="779">
      <c r="B779" s="14"/>
    </row>
    <row r="780">
      <c r="B780" s="14"/>
    </row>
    <row r="781">
      <c r="B781" s="14"/>
    </row>
    <row r="782">
      <c r="B782" s="14"/>
    </row>
    <row r="783">
      <c r="B783" s="14"/>
    </row>
    <row r="784">
      <c r="B784" s="14"/>
    </row>
    <row r="785">
      <c r="B785" s="14"/>
    </row>
    <row r="786">
      <c r="B786" s="14"/>
    </row>
    <row r="787">
      <c r="B787" s="14"/>
    </row>
    <row r="788">
      <c r="B788" s="14"/>
    </row>
    <row r="789">
      <c r="B789" s="14"/>
    </row>
    <row r="790">
      <c r="B790" s="14"/>
    </row>
    <row r="791">
      <c r="B791" s="14"/>
    </row>
    <row r="792">
      <c r="B792" s="14"/>
    </row>
    <row r="793">
      <c r="B793" s="14"/>
    </row>
    <row r="794">
      <c r="B794" s="14"/>
    </row>
    <row r="795">
      <c r="B795" s="14"/>
    </row>
    <row r="796">
      <c r="B796" s="14"/>
    </row>
    <row r="797">
      <c r="B797" s="14"/>
    </row>
    <row r="798">
      <c r="B798" s="14"/>
    </row>
    <row r="799">
      <c r="B799" s="14"/>
    </row>
    <row r="800">
      <c r="B800" s="14"/>
    </row>
    <row r="801">
      <c r="B801" s="14"/>
    </row>
    <row r="802">
      <c r="B802" s="14"/>
    </row>
    <row r="803">
      <c r="B803" s="14"/>
    </row>
    <row r="804">
      <c r="B804" s="14"/>
    </row>
    <row r="805">
      <c r="B805" s="14"/>
    </row>
    <row r="806">
      <c r="B806" s="14"/>
    </row>
    <row r="807">
      <c r="B807" s="14"/>
    </row>
    <row r="808">
      <c r="B808" s="14"/>
    </row>
    <row r="809">
      <c r="B809" s="14"/>
    </row>
    <row r="810">
      <c r="B810" s="14"/>
    </row>
    <row r="811">
      <c r="B811" s="14"/>
    </row>
    <row r="812">
      <c r="B812" s="14"/>
    </row>
    <row r="813">
      <c r="B813" s="14"/>
    </row>
    <row r="814">
      <c r="B814" s="14"/>
    </row>
    <row r="815">
      <c r="B815" s="14"/>
    </row>
    <row r="816">
      <c r="B816" s="14"/>
    </row>
    <row r="817">
      <c r="B817" s="14"/>
    </row>
    <row r="818">
      <c r="B818" s="14"/>
    </row>
    <row r="819">
      <c r="B819" s="14"/>
    </row>
    <row r="820">
      <c r="B820" s="14"/>
    </row>
    <row r="821">
      <c r="B821" s="14"/>
    </row>
    <row r="822">
      <c r="B822" s="14"/>
    </row>
    <row r="823">
      <c r="B823" s="14"/>
    </row>
    <row r="824">
      <c r="B824" s="14"/>
    </row>
    <row r="825">
      <c r="B825" s="14"/>
    </row>
    <row r="826">
      <c r="B826" s="14"/>
    </row>
    <row r="827">
      <c r="B827" s="14"/>
    </row>
    <row r="828">
      <c r="B828" s="14"/>
    </row>
    <row r="829">
      <c r="B829" s="14"/>
    </row>
    <row r="830">
      <c r="B830" s="14"/>
    </row>
    <row r="831">
      <c r="B831" s="14"/>
    </row>
    <row r="832">
      <c r="B832" s="14"/>
    </row>
    <row r="833">
      <c r="B833" s="14"/>
    </row>
    <row r="834">
      <c r="B834" s="14"/>
    </row>
    <row r="835">
      <c r="B835" s="14"/>
    </row>
    <row r="836">
      <c r="B836" s="14"/>
    </row>
    <row r="837">
      <c r="B837" s="14"/>
    </row>
    <row r="838">
      <c r="B838" s="14"/>
    </row>
    <row r="839">
      <c r="B839" s="14"/>
    </row>
    <row r="840">
      <c r="B840" s="14"/>
    </row>
    <row r="841">
      <c r="B841" s="14"/>
    </row>
    <row r="842">
      <c r="B842" s="14"/>
    </row>
    <row r="843">
      <c r="B843" s="14"/>
    </row>
    <row r="844">
      <c r="B844" s="14"/>
    </row>
    <row r="845">
      <c r="B845" s="14"/>
    </row>
    <row r="846">
      <c r="B846" s="14"/>
    </row>
    <row r="847">
      <c r="B847" s="14"/>
    </row>
    <row r="848">
      <c r="B848" s="14"/>
    </row>
    <row r="849">
      <c r="B849" s="14"/>
    </row>
    <row r="850">
      <c r="B850" s="14"/>
    </row>
    <row r="851">
      <c r="B851" s="14"/>
    </row>
    <row r="852">
      <c r="B852" s="14"/>
    </row>
    <row r="853">
      <c r="B853" s="14"/>
    </row>
    <row r="854">
      <c r="B854" s="14"/>
    </row>
    <row r="855">
      <c r="B855" s="14"/>
    </row>
    <row r="856">
      <c r="B856" s="14"/>
    </row>
    <row r="857">
      <c r="B857" s="14"/>
    </row>
    <row r="858">
      <c r="B858" s="14"/>
    </row>
    <row r="859">
      <c r="B859" s="14"/>
    </row>
    <row r="860">
      <c r="B860" s="14"/>
    </row>
    <row r="861">
      <c r="B861" s="14"/>
    </row>
    <row r="862">
      <c r="B862" s="14"/>
    </row>
    <row r="863">
      <c r="B863" s="14"/>
    </row>
    <row r="864">
      <c r="B864" s="14"/>
    </row>
    <row r="865">
      <c r="B865" s="14"/>
    </row>
    <row r="866">
      <c r="B866" s="14"/>
    </row>
    <row r="867">
      <c r="B867" s="14"/>
    </row>
    <row r="868">
      <c r="B868" s="14"/>
    </row>
    <row r="869">
      <c r="B869" s="14"/>
    </row>
    <row r="870">
      <c r="B870" s="14"/>
    </row>
    <row r="871">
      <c r="B871" s="14"/>
    </row>
    <row r="872">
      <c r="B872" s="14"/>
    </row>
    <row r="873">
      <c r="B873" s="14"/>
    </row>
    <row r="874">
      <c r="B874" s="14"/>
    </row>
    <row r="875">
      <c r="B875" s="14"/>
    </row>
    <row r="876">
      <c r="B876" s="14"/>
    </row>
    <row r="877">
      <c r="B877" s="14"/>
    </row>
    <row r="878">
      <c r="B878" s="14"/>
    </row>
    <row r="879">
      <c r="B879" s="14"/>
    </row>
    <row r="880">
      <c r="B880" s="14"/>
    </row>
    <row r="881">
      <c r="B881" s="14"/>
    </row>
    <row r="882">
      <c r="B882" s="14"/>
    </row>
    <row r="883">
      <c r="B883" s="14"/>
    </row>
    <row r="884">
      <c r="B884" s="14"/>
    </row>
    <row r="885">
      <c r="B885" s="14"/>
    </row>
    <row r="886">
      <c r="B886" s="14"/>
    </row>
    <row r="887">
      <c r="B887" s="14"/>
    </row>
    <row r="888">
      <c r="B888" s="14"/>
    </row>
    <row r="889">
      <c r="B889" s="14"/>
    </row>
    <row r="890">
      <c r="B890" s="14"/>
    </row>
    <row r="891">
      <c r="B891" s="14"/>
    </row>
    <row r="892">
      <c r="B892" s="14"/>
    </row>
    <row r="893">
      <c r="B893" s="14"/>
    </row>
    <row r="894">
      <c r="B894" s="14"/>
    </row>
    <row r="895">
      <c r="B895" s="14"/>
    </row>
    <row r="896">
      <c r="B896" s="14"/>
    </row>
    <row r="897">
      <c r="B897" s="14"/>
    </row>
    <row r="898">
      <c r="B898" s="14"/>
    </row>
    <row r="899">
      <c r="B899" s="14"/>
    </row>
    <row r="900">
      <c r="B900" s="14"/>
    </row>
    <row r="901">
      <c r="B901" s="14"/>
    </row>
    <row r="902">
      <c r="B902" s="14"/>
    </row>
    <row r="903">
      <c r="B903" s="14"/>
    </row>
    <row r="904">
      <c r="B904" s="14"/>
    </row>
    <row r="905">
      <c r="B905" s="14"/>
    </row>
    <row r="906">
      <c r="B906" s="14"/>
    </row>
    <row r="907">
      <c r="B907" s="14"/>
    </row>
    <row r="908">
      <c r="B908" s="14"/>
    </row>
    <row r="909">
      <c r="B909" s="14"/>
    </row>
    <row r="910">
      <c r="B910" s="14"/>
    </row>
    <row r="911">
      <c r="B911" s="14"/>
    </row>
    <row r="912">
      <c r="B912" s="14"/>
    </row>
    <row r="913">
      <c r="B913" s="14"/>
    </row>
    <row r="914">
      <c r="B914" s="14"/>
    </row>
    <row r="915">
      <c r="B915" s="14"/>
    </row>
    <row r="916">
      <c r="B916" s="14"/>
    </row>
    <row r="917">
      <c r="B917" s="14"/>
    </row>
    <row r="918">
      <c r="B918" s="14"/>
    </row>
    <row r="919">
      <c r="B919" s="14"/>
    </row>
    <row r="920">
      <c r="B920" s="14"/>
    </row>
    <row r="921">
      <c r="B921" s="14"/>
    </row>
    <row r="922">
      <c r="B922" s="14"/>
    </row>
    <row r="923">
      <c r="B923" s="14"/>
    </row>
    <row r="924">
      <c r="B924" s="14"/>
    </row>
    <row r="925">
      <c r="B925" s="14"/>
    </row>
    <row r="926">
      <c r="B926" s="14"/>
    </row>
    <row r="927">
      <c r="B927" s="14"/>
    </row>
    <row r="928">
      <c r="B928" s="14"/>
    </row>
    <row r="929">
      <c r="B929" s="14"/>
    </row>
    <row r="930">
      <c r="B930" s="14"/>
    </row>
    <row r="931">
      <c r="B931" s="14"/>
    </row>
    <row r="932">
      <c r="B932" s="14"/>
    </row>
    <row r="933">
      <c r="B933" s="14"/>
    </row>
    <row r="934">
      <c r="B934" s="14"/>
    </row>
    <row r="935">
      <c r="B935" s="14"/>
    </row>
    <row r="936">
      <c r="B936" s="14"/>
    </row>
    <row r="937">
      <c r="B937" s="14"/>
    </row>
    <row r="938">
      <c r="B938" s="14"/>
    </row>
    <row r="939">
      <c r="B939" s="14"/>
    </row>
    <row r="940">
      <c r="B940" s="14"/>
    </row>
    <row r="941">
      <c r="B941" s="14"/>
    </row>
    <row r="942">
      <c r="B942" s="14"/>
    </row>
    <row r="943">
      <c r="B943" s="14"/>
    </row>
    <row r="944">
      <c r="B944" s="14"/>
    </row>
    <row r="945">
      <c r="B945" s="14"/>
    </row>
    <row r="946">
      <c r="B946" s="14"/>
    </row>
    <row r="947">
      <c r="B947" s="14"/>
    </row>
    <row r="948">
      <c r="B948" s="14"/>
    </row>
    <row r="949">
      <c r="B949" s="14"/>
    </row>
    <row r="950">
      <c r="B950" s="14"/>
    </row>
    <row r="951">
      <c r="B951" s="14"/>
    </row>
    <row r="952">
      <c r="B952" s="14"/>
    </row>
    <row r="953">
      <c r="B953" s="14"/>
    </row>
    <row r="954">
      <c r="B954" s="14"/>
    </row>
    <row r="955">
      <c r="B955" s="14"/>
    </row>
    <row r="956">
      <c r="B956" s="14"/>
    </row>
    <row r="957">
      <c r="B957" s="14"/>
    </row>
    <row r="958">
      <c r="B958" s="14"/>
    </row>
    <row r="959">
      <c r="B959" s="14"/>
    </row>
    <row r="960">
      <c r="B960" s="14"/>
    </row>
    <row r="961">
      <c r="B961" s="14"/>
    </row>
    <row r="962">
      <c r="B962" s="14"/>
    </row>
    <row r="963">
      <c r="B963" s="14"/>
    </row>
    <row r="964">
      <c r="B964" s="14"/>
    </row>
    <row r="965">
      <c r="B965" s="14"/>
    </row>
    <row r="966">
      <c r="B966" s="14"/>
    </row>
    <row r="967">
      <c r="B967" s="14"/>
    </row>
    <row r="968">
      <c r="B968" s="14"/>
    </row>
    <row r="969">
      <c r="B969" s="14"/>
    </row>
    <row r="970">
      <c r="B970" s="14"/>
    </row>
    <row r="971">
      <c r="B971" s="14"/>
    </row>
    <row r="972">
      <c r="B972" s="14"/>
    </row>
    <row r="973">
      <c r="B973" s="14"/>
    </row>
    <row r="974">
      <c r="B974" s="14"/>
    </row>
    <row r="975">
      <c r="B975" s="14"/>
    </row>
    <row r="976">
      <c r="B976" s="14"/>
    </row>
    <row r="977">
      <c r="B977" s="14"/>
    </row>
    <row r="978">
      <c r="B978" s="14"/>
    </row>
    <row r="979">
      <c r="B979" s="14"/>
    </row>
    <row r="980">
      <c r="B980" s="14"/>
    </row>
    <row r="981">
      <c r="B981" s="14"/>
    </row>
    <row r="982">
      <c r="B982" s="14"/>
    </row>
    <row r="983">
      <c r="B983" s="14"/>
    </row>
    <row r="984">
      <c r="B984" s="14"/>
    </row>
    <row r="985">
      <c r="B985" s="14"/>
    </row>
    <row r="986">
      <c r="B986" s="14"/>
    </row>
    <row r="987">
      <c r="B987" s="14"/>
    </row>
    <row r="988">
      <c r="B988" s="14"/>
    </row>
    <row r="989">
      <c r="B989" s="14"/>
    </row>
    <row r="990">
      <c r="B990" s="14"/>
    </row>
    <row r="991">
      <c r="B991" s="14"/>
    </row>
    <row r="992">
      <c r="B992" s="14"/>
    </row>
    <row r="993">
      <c r="B993" s="14"/>
    </row>
    <row r="994">
      <c r="B994" s="14"/>
    </row>
    <row r="995">
      <c r="B995" s="14"/>
    </row>
    <row r="996">
      <c r="B996" s="14"/>
    </row>
    <row r="997">
      <c r="B997" s="14"/>
    </row>
    <row r="998">
      <c r="B998" s="14"/>
    </row>
    <row r="999">
      <c r="B999" s="14"/>
    </row>
    <row r="1000">
      <c r="B1000" s="14"/>
    </row>
  </sheetData>
  <hyperlinks>
    <hyperlink r:id="rId1" ref="X2"/>
    <hyperlink r:id="rId2" ref="X4"/>
    <hyperlink r:id="rId3" ref="X7"/>
    <hyperlink r:id="rId4" ref="X9"/>
    <hyperlink r:id="rId5" ref="X10"/>
    <hyperlink r:id="rId6" ref="X11"/>
    <hyperlink r:id="rId7" ref="X12"/>
    <hyperlink r:id="rId8" ref="X14"/>
    <hyperlink r:id="rId9" ref="X15"/>
    <hyperlink r:id="rId10" ref="X16"/>
    <hyperlink r:id="rId11" ref="X17"/>
    <hyperlink r:id="rId12" ref="X18"/>
    <hyperlink r:id="rId13" ref="X19"/>
    <hyperlink r:id="rId14" ref="X20"/>
    <hyperlink r:id="rId15" ref="X21"/>
    <hyperlink r:id="rId16" ref="X22"/>
    <hyperlink r:id="rId17" ref="X23"/>
    <hyperlink r:id="rId18" ref="X24"/>
    <hyperlink r:id="rId19" ref="X25"/>
    <hyperlink r:id="rId20" ref="X26"/>
    <hyperlink r:id="rId21" ref="X27"/>
    <hyperlink r:id="rId22" ref="X28"/>
    <hyperlink r:id="rId23" ref="X29"/>
    <hyperlink r:id="rId24" ref="X30"/>
    <hyperlink r:id="rId25" ref="X31"/>
    <hyperlink r:id="rId26" ref="X32"/>
    <hyperlink r:id="rId27" ref="X33"/>
    <hyperlink r:id="rId28" ref="X34"/>
    <hyperlink r:id="rId29" ref="X35"/>
    <hyperlink r:id="rId30" ref="X36"/>
    <hyperlink r:id="rId31" ref="X37"/>
    <hyperlink r:id="rId32" ref="X38"/>
  </hyperlinks>
  <drawing r:id="rId33"/>
</worksheet>
</file>